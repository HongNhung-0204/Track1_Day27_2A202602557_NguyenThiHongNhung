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Tình huống" sheetId="2" r:id="rId6"/>
    <sheet state="visible" name="Bài 1" sheetId="3" r:id="rId7"/>
    <sheet state="visible" name="Bài 2" sheetId="4" r:id="rId8"/>
    <sheet state="visible" name="Bài 3" sheetId="5" r:id="rId9"/>
    <sheet state="visible" name="Bài 4" sheetId="6" r:id="rId10"/>
    <sheet state="visible" name="Bài 5" sheetId="7" r:id="rId11"/>
    <sheet state="visible" name="Xưởng" sheetId="8" r:id="rId12"/>
    <sheet state="visible" name="Thang điểm" sheetId="9" r:id="rId13"/>
    <sheet state="visible" name="Tổng hợp" sheetId="10" r:id="rId14"/>
    <sheet state="hidden" name="_ds" sheetId="11" r:id="rId15"/>
  </sheets>
  <definedNames/>
  <calcPr/>
</workbook>
</file>

<file path=xl/sharedStrings.xml><?xml version="1.0" encoding="utf-8"?>
<sst xmlns="http://schemas.openxmlformats.org/spreadsheetml/2006/main" count="989" uniqueCount="655">
  <si>
    <t>CS12 · Đánh giá sản phẩm AI · Bài tập buổi sáng 16/10/2026</t>
  </si>
  <si>
    <t>Bài 1 · Đọc báo cáo đánh giá và thu hẹp phạm vi (10 phút) · sau Phần 01 · trang 13–23</t>
  </si>
  <si>
    <t>Hồ sơ tình huống · Trợ lý đổi trả của Mộc Store (giả định)</t>
  </si>
  <si>
    <t>Bài 2 · Phủ ca và chọn tình huống (12 phút) · sau Phần 02 · trang 24–30</t>
  </si>
  <si>
    <t>Làm cá nhân, không tính điểm. Điền ô vàng ở cột C; cột D tự báo kết quả.</t>
  </si>
  <si>
    <t>Mộc Store là cửa hàng thời trang bán online (áo, quần, giày) qua website và Zalo. Tình huống giả định, dùng cho toàn bộ buổi sáng.</t>
  </si>
  <si>
    <t>AI in Action · Track 1 · Khóa 4. Bài tập đi kèm bộ slide "AI Evaluation" của chị Mai Anh Nguyen (66 trang). Slide của chị Mai Anh giữ nguyên; file này là phần thực hành.</t>
  </si>
  <si>
    <t>Trợ lý AI "Mộc" trả lời tin nhắn về đổi hàng, trả hàng và tình trạng đơn. Khoảng 300 tin nhắn loại này mỗi ngày.</t>
  </si>
  <si>
    <t>Nhóm vừa đổi câu lệnh của trợ lý Mộc (v1.3 → v1.4) và chạy lại trên bộ đề chuẩn 50 tin nhắn đã có nhãn đúng.</t>
  </si>
  <si>
    <t>Luật chơi: CHỈ điền vào ô màu VÀNG. Ô màu XANH LÁ NHẠT tự tính và đã khoá. Cột "Kiểm tra" báo Đúng hoặc Chưa đúng ngay khi điền.</t>
  </si>
  <si>
    <t>Phép thử chiều (trang 26): đổi giá trị của một thuộc tính trong tin nhắn → hành vi đúng của trợ lý có đổi không?</t>
  </si>
  <si>
    <t>Chuyên gia: chị Ngân, trưởng nhóm chăm sóc khách hàng, 6 năm kinh nghiệm. Chị là người định nghĩa thế nào là "đạt".</t>
  </si>
  <si>
    <t>Cổng chất lượng chốt trước khi chạy: tỷ lệ đúng tổng từ 82% trở lên.</t>
  </si>
  <si>
    <t>Có đổi → là một chiều của lưới. Không đổi → chỉ là cách diễn đạt, để AI viết lại, không tốn một chiều.</t>
  </si>
  <si>
    <t>Bài 1–5 (10–12 phút mỗi bài, sau mỗi phần trình chiếu): làm CÁ NHÂN, không tính điểm, để tự biết mình đã hiểu chưa. Chưa đúng: đọc lại trang slide ghi ở cột "Trang", sửa, rồi hỏi trong khung chat.</t>
  </si>
  <si>
    <t>Chính sách đổi trả</t>
  </si>
  <si>
    <t>Có 3 tin "hồi quy" (v1.3 đúng, v1.4 sai), cả 3 nằm ở nhóm Tra cứu đơn.</t>
  </si>
  <si>
    <t>Câu 2.14: A. Nhờ AI tạo 50 câu kiểm thử là đủ phủ.  ·  B. Người chọn ô cần thử trên lưới; AI chỉ viết thêm cách diễn đạt cho từng ô.  ·  C. Càng nhiều dòng thì bộ đề càng phủ tốt.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</si>
  <si>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</si>
  <si>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</si>
  <si>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Mã</t>
  </si>
  <si>
    <t>Câu</t>
  </si>
  <si>
    <t>Nhóm ý định</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</si>
  <si>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</si>
  <si>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</si>
  <si>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</si>
  <si>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</si>
  <si>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</si>
  <si>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Đề</t>
  </si>
  <si>
    <t>Số tin trong bộ đề</t>
  </si>
  <si>
    <t>Hoạt động</t>
  </si>
  <si>
    <t>Trả lời</t>
  </si>
  <si>
    <t>Nội dung</t>
  </si>
  <si>
    <t>v1.3 đúng (bản đang chạy)</t>
  </si>
  <si>
    <t>Thời lượng</t>
  </si>
  <si>
    <t>Kiểm tra</t>
  </si>
  <si>
    <t>v1.4 đúng (bản mới)</t>
  </si>
  <si>
    <t>Trang</t>
  </si>
  <si>
    <t>09:00–09:05</t>
  </si>
  <si>
    <t>Đổi hàng</t>
  </si>
  <si>
    <t>2.1</t>
  </si>
  <si>
    <t>Quy định</t>
  </si>
  <si>
    <t>Mở đầu</t>
  </si>
  <si>
    <t>Chào lớp; giới thiệu tình huống Mộc Store (slide bài tập 1–9); trợ giảng gửi đường dẫn tài liệu</t>
  </si>
  <si>
    <t>09:05–09:20</t>
  </si>
  <si>
    <t>Khách viết có dấu hay không dấu. Đây có phải một chiều?  (chọn: Có / Không)</t>
  </si>
  <si>
    <t>Trình chiếu</t>
  </si>
  <si>
    <t>CS-1</t>
  </si>
  <si>
    <t>Trang 1–12: khoảng trống đánh giá, tình huống Notion AI</t>
  </si>
  <si>
    <t>Đổi size hoặc màu</t>
  </si>
  <si>
    <t>09:20–09:40</t>
  </si>
  <si>
    <t>Trong 7 ngày kể từ ngày nhận hàng, hàng còn tem mác. Miễn phí đổi lần đầu.</t>
  </si>
  <si>
    <t>Phần 01 · trang 13–23: vòng đời đánh giá, báo cáo, tài liệu yêu cầu</t>
  </si>
  <si>
    <t>CS-2</t>
  </si>
  <si>
    <t>Trả hàng, hoàn tiền</t>
  </si>
  <si>
    <t>09:40–09:50</t>
  </si>
  <si>
    <t>Trả hàng</t>
  </si>
  <si>
    <t>Trong 7 ngày kể từ ngày nhận hàng. Tiền hoàn trong 3–5 ngày làm việc sau khi kho nhận lại hàng.</t>
  </si>
  <si>
    <t>CS-3</t>
  </si>
  <si>
    <t>Bài 1</t>
  </si>
  <si>
    <t>Hàng lỗi (bong keo, rách, sai mẫu)</t>
  </si>
  <si>
    <t>Không</t>
  </si>
  <si>
    <t>Trong 30 ngày kể từ ngày nhận hàng. Trợ lý chuyển nhân viên xử lý, không tự hứa đền bù.</t>
  </si>
  <si>
    <t>Đọc báo cáo đánh giá và thu hẹp phạm vi</t>
  </si>
  <si>
    <t>CS-4</t>
  </si>
  <si>
    <t>10 phút</t>
  </si>
  <si>
    <t>Tra cứu trước khi hứa</t>
  </si>
  <si>
    <t>09:50–10:05</t>
  </si>
  <si>
    <t>Trước khi xác nhận đổi, trả hay hoàn tiền: phải tra cứu đơn (ngày nhận, trạng thái).</t>
  </si>
  <si>
    <t>CS-5</t>
  </si>
  <si>
    <t>Phần 02 · trang 24–30: phủ ca, lưới đầu vào, ngân hàng tình huống</t>
  </si>
  <si>
    <t>Thiếu mã đơn</t>
  </si>
  <si>
    <t>Hỏi mã đơn hoặc số điện thoại đặt hàng. Không đoán đơn.</t>
  </si>
  <si>
    <t>10:05–10:17</t>
  </si>
  <si>
    <t>Tra cứu đơn</t>
  </si>
  <si>
    <t>CS-6</t>
  </si>
  <si>
    <t>Bài 2</t>
  </si>
  <si>
    <t>Khách muốn gặp người</t>
  </si>
  <si>
    <t>Phủ ca và chọn tình huống</t>
  </si>
  <si>
    <t>Khách yêu cầu gặp nhân viên, hoặc khiếu nại hàng lỗi: chuyển nhân viên.</t>
  </si>
  <si>
    <t>12 phút</t>
  </si>
  <si>
    <t>10:17–10:27</t>
  </si>
  <si>
    <t>Nghỉ</t>
  </si>
  <si>
    <t>4 nhãn ý định (giống trang 16): Đổi hàng · Trả hàng · Tra cứu đơn · Cần làm rõ</t>
  </si>
  <si>
    <t>Nghỉ 10 phút</t>
  </si>
  <si>
    <t>10:27–10:40</t>
  </si>
  <si>
    <t>Tin khiếu nại hàng lỗi gắn nhãn Trả hàng kèm cờ "hàng lỗi: có". Tin không rõ đơn nào hoặc không rõ muốn gì gắn nhãn Cần làm rõ.</t>
  </si>
  <si>
    <t>Phần 03 · trang 31–36: đọc vết thực thi, mã lỗi</t>
  </si>
  <si>
    <t>10:40–10:50</t>
  </si>
  <si>
    <t>Tổng</t>
  </si>
  <si>
    <t>Bài 3</t>
  </si>
  <si>
    <t>Công cụ trợ lý gọi được</t>
  </si>
  <si>
    <t>Đọc vết thực thi, tìm bước sai đầu tiên</t>
  </si>
  <si>
    <t>Công cụ</t>
  </si>
  <si>
    <t>10:50–11:12</t>
  </si>
  <si>
    <t>Làm gì</t>
  </si>
  <si>
    <t>Phần 04–05 · trang 37–50: chấm tự động, chấm bằng mã lệnh</t>
  </si>
  <si>
    <t>1</t>
  </si>
  <si>
    <t>tra_cuu_don</t>
  </si>
  <si>
    <t>11:12–11:22</t>
  </si>
  <si>
    <t>tra đơn theo mã đơn hoặc số điện thoại; trả về ngày nhận hàng và trạng thái</t>
  </si>
  <si>
    <t>Bài 4</t>
  </si>
  <si>
    <t>Chọn cách chấm và ra kết luận</t>
  </si>
  <si>
    <t>2</t>
  </si>
  <si>
    <t>tao_yeu_cau_doi_tra</t>
  </si>
  <si>
    <t>11:22–11:32</t>
  </si>
  <si>
    <t>tạo yêu cầu đổi hoặc trả cho một mã đơn</t>
  </si>
  <si>
    <t>Câu 1.6: A. Phát hành ngay: tổng tăng 4 điểm và đã qua cổng.  ·  B. Chưa phát hành: mở đọc 3 tin hồi quy ở nhóm Tra cứu đơn, hiểu vì sao sai rồi mới quyết định.  ·  C. Quay về v1.3: tổng chỉ tăng 2 tin, chắc chắn là nhiễu.</t>
  </si>
  <si>
    <t>3</t>
  </si>
  <si>
    <t>chuyen_nhan_vien</t>
  </si>
  <si>
    <t>11:32–11:48</t>
  </si>
  <si>
    <t>chuyển cuộc trò chuyện cho nhân viên, kèm lý do</t>
  </si>
  <si>
    <t>Câu 1.8: A. Làm khách hài lòng hơn mỗi khi đổi trả.  ·  B. Đọc 1 tin nhắn đổi trả → gắn đúng 1 trong 4 nhãn ý định, dưới 2 giây.  ·  C. Trả lời mọi câu hỏi của khách về đơn hàng và chính sách.</t>
  </si>
  <si>
    <t>Phần 06 · trang 51–59: hiệu chỉnh giám khảo AI</t>
  </si>
  <si>
    <t>Chưa có công cụ tra tồn kho (dùng ở Bài 4).</t>
  </si>
  <si>
    <t>11:48–11:58</t>
  </si>
  <si>
    <t>Bài 5</t>
  </si>
  <si>
    <t>Hiệu chỉnh giám khảo AI</t>
  </si>
  <si>
    <t>11:58–12:06</t>
  </si>
  <si>
    <t>Mã lỗi dùng ở Bài 3 và Xưởng (trang 35)</t>
  </si>
  <si>
    <t>26</t>
  </si>
  <si>
    <t>Mã lỗi</t>
  </si>
  <si>
    <t>Nghĩa</t>
  </si>
  <si>
    <t>2.2</t>
  </si>
  <si>
    <t>Tin nhắn có mã đơn hay không có mã đơn. Đây có phải một chiều?  (chọn: Có / Không)</t>
  </si>
  <si>
    <t>wrong_intent</t>
  </si>
  <si>
    <t>Phần 07 · trang 60–66: đưa chuyên gia vào vòng lặp, tổng kết</t>
  </si>
  <si>
    <t>Hiểu sai nhu cầu chính của khách</t>
  </si>
  <si>
    <t>12:06–12:56</t>
  </si>
  <si>
    <t>Có</t>
  </si>
  <si>
    <t>missing_lookup</t>
  </si>
  <si>
    <t>Xưởng</t>
  </si>
  <si>
    <t>Không tra cứu dữ liệu trước khi trả lời</t>
  </si>
  <si>
    <t>Hướng dẫn 4 phút; làm trong phòng nhóm 12:10–12:53; soát và nộp 12:53–12:56 (nhóm 4–6 người, có chấm điểm)</t>
  </si>
  <si>
    <t>50 phút</t>
  </si>
  <si>
    <t>premature_commit</t>
  </si>
  <si>
    <t>12:56–13:00</t>
  </si>
  <si>
    <t>Hứa kết quả khi chưa đủ điều kiện</t>
  </si>
  <si>
    <t>Nộp bài</t>
  </si>
  <si>
    <t>Câu 1.9: Trục 1. Tách theo việc  ·  Trục 2. Tách theo điều kiện đầu vào  ·  Trục 3. Tách theo mức tự chủ</t>
  </si>
  <si>
    <t>4</t>
  </si>
  <si>
    <t>Nộp file lên VLearn, kết thúc buổi sáng</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</si>
  <si>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</si>
  <si>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</si>
  <si>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</si>
  <si>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</si>
  <si>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</si>
  <si>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</si>
  <si>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</si>
  <si>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</si>
  <si>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1.1</t>
  </si>
  <si>
    <t>eval, evals</t>
  </si>
  <si>
    <t>2.3</t>
  </si>
  <si>
    <t>bài đánh giá</t>
  </si>
  <si>
    <t>Trên bộ 50 tin, 1 tin đổi kết quả làm tỷ lệ đúng thay đổi bao nhiêu điểm phần trăm? (gõ một số)</t>
  </si>
  <si>
    <t>Khách nói lịch sự hay cộc lốc. Đây có phải một chiều?  (chọn: Có / Không)</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</si>
  <si>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</si>
  <si>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</si>
  <si>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</si>
  <si>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</si>
  <si>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</si>
  <si>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</si>
  <si>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</si>
  <si>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</si>
  <si>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</si>
  <si>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</si>
  <si>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</si>
  <si>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</si>
  <si>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</si>
  <si>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</si>
  <si>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</si>
  <si>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2.4</t>
  </si>
  <si>
    <t>slice</t>
  </si>
  <si>
    <t>Đơn còn trong 7 ngày, đã quá 7 ngày, hay là hàng lỗi trong 30 ngày. Đây có phải một chiều?  (chọn: Có / Không)</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</si>
  <si>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</si>
  <si>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</si>
  <si>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</si>
  <si>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</si>
  <si>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</si>
  <si>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</si>
  <si>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</si>
  <si>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</si>
  <si>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</si>
  <si>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</si>
  <si>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</si>
  <si>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</si>
  <si>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</si>
  <si>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</si>
  <si>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</si>
  <si>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</si>
  <si>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</si>
  <si>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</si>
  <si>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2.5</t>
  </si>
  <si>
    <t>mã lỗi (giữ nguyên tên như trang 35)</t>
  </si>
  <si>
    <t>Tin nhắn có 1 ý hay 2 ý (một đơn muốn đổi, một đơn muốn trả). Đây có phải một chiều?  (chọn: Có / Không)</t>
  </si>
  <si>
    <t>15</t>
  </si>
  <si>
    <t>specification gap · architectural issue · generalization gap</t>
  </si>
  <si>
    <t>thiếu đặc tả · thiếu năng lực hệ thống · thiếu nhất quán</t>
  </si>
  <si>
    <t>16</t>
  </si>
  <si>
    <t>code-based eval</t>
  </si>
  <si>
    <t>chấm bằng mã lệnh</t>
  </si>
  <si>
    <t>2.6</t>
  </si>
  <si>
    <t>17</t>
  </si>
  <si>
    <t>Tin nhắn dài hay ngắn (cùng nội dung). Đây có phải một chiều?  (chọn: Có / Không)</t>
  </si>
  <si>
    <t>LLM judge, LLM-as-judge</t>
  </si>
  <si>
    <t>giám khảo AI</t>
  </si>
  <si>
    <t>18</t>
  </si>
  <si>
    <t>referent</t>
  </si>
  <si>
    <t>căn cứ kiểm chứng</t>
  </si>
  <si>
    <t>19</t>
  </si>
  <si>
    <t>calibration</t>
  </si>
  <si>
    <t>hiệu chỉnh</t>
  </si>
  <si>
    <t>20</t>
  </si>
  <si>
    <t>TPR</t>
  </si>
  <si>
    <t>1.2</t>
  </si>
  <si>
    <t>tỷ lệ nhận đúng ca đạt</t>
  </si>
  <si>
    <t>Tỷ lệ đúng tổng của v1.4 là bao nhiêu? (gõ kèm %)</t>
  </si>
  <si>
    <t>21</t>
  </si>
  <si>
    <t>TNR</t>
  </si>
  <si>
    <t>tỷ lệ bắt đúng ca trượt</t>
  </si>
  <si>
    <t>2.7</t>
  </si>
  <si>
    <t>22</t>
  </si>
  <si>
    <t>Nhóm chọn 3 chiều: Ý định (4 giá trị) × Độ đủ thông tin (3 giá trị: đủ, thiếu mã đơn, mơ hồ) × Tình trạng đơn (3 giá trị: trong hạn, quá hạn, hàng lỗi). Có bao nhiêu tổ hợp?</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</si>
  <si>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</si>
  <si>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</si>
  <si>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</si>
  <si>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</si>
  <si>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</si>
  <si>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</si>
  <si>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</si>
  <si>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</si>
  <si>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</si>
  <si>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</si>
  <si>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</si>
  <si>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expert in the loop</t>
  </si>
  <si>
    <t>đưa chuyên gia vào vòng lặp</t>
  </si>
  <si>
    <t>29</t>
  </si>
  <si>
    <t>2.8</t>
  </si>
  <si>
    <t>Nhóm loại 12 tổ hợp phi lý. Còn lại bao nhiêu tổ hợp?</t>
  </si>
  <si>
    <t>1.3</t>
  </si>
  <si>
    <t>v1.4 có qua cổng chất lượng (≥ 82%) không?  (chọn: Có / Không)</t>
  </si>
  <si>
    <t>2.9</t>
  </si>
  <si>
    <t>Từ 24 tổ hợp, nhóm chọn 16 tình huống đáng thử; mỗi tình huống viết 3 cách diễn đạt. Bộ đề có bao nhiêu đầu vào?</t>
  </si>
  <si>
    <t>1.4</t>
  </si>
  <si>
    <t>Tỷ lệ đúng của nhóm Tra cứu đơn ở v1.4 là bao nhiêu? (gõ kèm %)</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</si>
  <si>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</si>
  <si>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</si>
  <si>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</si>
  <si>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</si>
  <si>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</si>
  <si>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</si>
  <si>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1.5</t>
  </si>
  <si>
    <t>Nhóm Tra cứu đơn tụt bao nhiêu điểm phần trăm? (gõ một số)</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</si>
  <si>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</si>
  <si>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</si>
  <si>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</si>
  <si>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</si>
  <si>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</si>
  <si>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</si>
  <si>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1.6</t>
  </si>
  <si>
    <t>Kết luận nào đúng?</t>
  </si>
  <si>
    <t>B</t>
  </si>
  <si>
    <t>2.14</t>
  </si>
  <si>
    <t>Câu nào đúng về việc dùng AI tạo ca kiểm thử?</t>
  </si>
  <si>
    <t>1.7</t>
  </si>
  <si>
    <t>Muốn tin một khoảng chênh 3 điểm phần trăm là thật (độ tin 95%), cần khoảng bao nhiêu ca?  (chọn: Khoảng 100 ca / Khoảng 1.000 ca / Khoảng 10.000 ca)</t>
  </si>
  <si>
    <t>Khoảng 1.000 ca</t>
  </si>
  <si>
    <t>Số câu đúng</t>
  </si>
  <si>
    <t>1.8</t>
  </si>
  <si>
    <t>Mục tiêu "Dùng AI để chăm sóc khách đổi trả tốt hơn" quá rộng. Câu nào là đơn vị công việc AI đo được?</t>
  </si>
  <si>
    <t>/ 14 câu</t>
  </si>
  <si>
    <t>1.9</t>
  </si>
  <si>
    <t>Tách "tin nhắn rõ ràng" và "tin nhắn mơ hồ" để đặt kỳ vọng khác nhau (tin mơ hồ thì hỏi lại) là thu hẹp theo trục nào?</t>
  </si>
  <si>
    <t>Trục 2</t>
  </si>
  <si>
    <t>/ 9 câu</t>
  </si>
  <si>
    <t>Bài 4 · Chọn cách chấm và ra kết luận (10 phút) · sau Phần 04–05 · trang 37–50</t>
  </si>
  <si>
    <t>Bài 3 · Đọc vết thực thi, tìm bước sai đầu tiên (10 phút) · sau Phần 03 · trang 31–36</t>
  </si>
  <si>
    <t>Ba câu hỏi trước khi viết bài đánh giá (trang 39). Chọn bộ chấm theo căn cứ kiểm chứng (trang 40–41). Đọc mã kiểm tra nhãn (trang 44). Kết luận "có răng" (trang 50).</t>
  </si>
  <si>
    <t>Đọc 4 vết thực thi của trợ lý Mộc. Với mỗi vết: tìm bước sai ĐẦU TIÊN (trang 33: lỗi bắt đầu ở đâu, bước sau chỉ là hệ quả) và gắn 1 mã lỗi gốc (trang 35).</t>
  </si>
  <si>
    <t>Mã kiểm tra nhãn của Mộc: VALID = {"Đổi hàng", "Trả hàng", "Tra cứu đơn", "Cần làm rõ"}; đếm số nhãn hợp lệ xuất hiện trong đầu ra (so khớp đúng từng chữ). Đúng 1 → Đạt; 0 → Không đạt; từ 2 trở lên → Không đạt.</t>
  </si>
  <si>
    <t>Đối chiếu với chính sách CS-1 đến CS-6 trong hồ sơ tình huống.</t>
  </si>
  <si>
    <t>Bảng cho câu 4.14–4.15: bộ đề 50 tin, mọi ngưỡng chốt trước khi chạy. Quy tắc phát hành (trang 50): mọi tiêu chí đạt ngưỡng và không tiêu chí nào tụt quá 2 điểm so với bản cũ.</t>
  </si>
  <si>
    <t>Vết</t>
  </si>
  <si>
    <t>Bước · loại · nội dung</t>
  </si>
  <si>
    <t>Tiêu chí</t>
  </si>
  <si>
    <t>Ngưỡng chốt trước</t>
  </si>
  <si>
    <t>v1.3</t>
  </si>
  <si>
    <t>v1.4</t>
  </si>
  <si>
    <t>T1</t>
  </si>
  <si>
    <t>Nhãn ý định đúng</t>
  </si>
  <si>
    <t>1 · Khách: "Đơn MS-1043 mình nhận hôm qua, áo chật, đổi size L được không?"</t>
  </si>
  <si>
    <t>≥ 90%</t>
  </si>
  <si>
    <t>90%</t>
  </si>
  <si>
    <t>2 · Phân loại ý định: Tra cứu đơn</t>
  </si>
  <si>
    <t>96%</t>
  </si>
  <si>
    <t>Bịa mã đơn</t>
  </si>
  <si>
    <t>3 · Công cụ: tra_cuu_don(MS-1043) → đã giao ngày 13/10</t>
  </si>
  <si>
    <t>0 tin</t>
  </si>
  <si>
    <t>Thời gian phản hồi (trung vị)</t>
  </si>
  <si>
    <t>4 · Trả lời: "Đơn MS-1043 đã giao thành công ngày 13/10. Bạn cần hỗ trợ gì thêm không ạ?"</t>
  </si>
  <si>
    <t>&lt; 2 giây</t>
  </si>
  <si>
    <t>1,4 giây</t>
  </si>
  <si>
    <t>1,6 giây</t>
  </si>
  <si>
    <t>Ghi nhận cảm xúc khách</t>
  </si>
  <si>
    <t>5 · Phản hồi: Không thích: "mình hỏi đổi size mà"</t>
  </si>
  <si>
    <t>không tụt quá 2 điểm</t>
  </si>
  <si>
    <t>84%</t>
  </si>
  <si>
    <t>76%</t>
  </si>
  <si>
    <t>Câu 4.13: A. Kết luận trợ lý hỏng, quay về bản cũ.  ·  B. Kiểm tra lại chính bài đánh giá: mẫu so khớp, tên trường dữ liệu.  ·  C. Hạ ngưỡng để có kết quả.</t>
  </si>
  <si>
    <t>T2</t>
  </si>
  <si>
    <t>1 · Khách: "Mình muốn trả đôi giày mua tháng trước, hoàn tiền giúp mình." (không có mã đơn)</t>
  </si>
  <si>
    <t>2 · Phân loại ý định: Trả hàng</t>
  </si>
  <si>
    <t>4.1</t>
  </si>
  <si>
    <t>3 · Công cụ: (không gọi công cụ nào)</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</si>
  <si>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</si>
  <si>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4 · Trả lời: "Dạ shop đã ghi nhận, tiền sẽ về tài khoản bạn trong 3–5 ngày ạ."</t>
  </si>
  <si>
    <t>Thiếu đặc tả → sửa câu lệnh</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</si>
  <si>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</si>
  <si>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</si>
  <si>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</si>
  <si>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</si>
  <si>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</si>
  <si>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</si>
  <si>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</si>
  <si>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</si>
  <si>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</si>
  <si>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</si>
  <si>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2 · Phân loại ý định: Đổi hàng</t>
  </si>
  <si>
    <t>Thiếu năng lực hệ thống → sửa kỹ thuật</t>
  </si>
  <si>
    <t>3 · Công cụ: tra_cuu_don(MS-1102) → nhận hàng 2 ngày trước</t>
  </si>
  <si>
    <t>4 · Trả lời: "Dạ đơn MS-1102 vẫn trong hạn đổi 7 ngày ạ." (kết thúc)</t>
  </si>
  <si>
    <t>4.3</t>
  </si>
  <si>
    <t>Câu 3.9: A. Lời trả lời trôi chảy, nghe chắc chắn; chỉ vết thực thi mới cho thấy không có bước tra cứu.  ·  B. Vì khách không phàn nàn gì.  ·  C. Vì câu trả lời quá ngắn.</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</si>
  <si>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</si>
  <si>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</si>
  <si>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3.1</t>
  </si>
  <si>
    <t>T1 · Bước sai đầu tiên là bước số mấy?</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</si>
  <si>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</si>
  <si>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</si>
  <si>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</si>
  <si>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</si>
  <si>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</si>
  <si>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</si>
  <si>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</si>
  <si>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</si>
  <si>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</si>
  <si>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</si>
  <si>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</si>
  <si>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</si>
  <si>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</si>
  <si>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</si>
  <si>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</si>
  <si>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33</t>
  </si>
  <si>
    <t>3.2</t>
  </si>
  <si>
    <t>T1 · Mã lỗi gốc là gì?  (chọn: wrong_intent / missing_lookup / premature_commit / missing_escalation / no_next_step)</t>
  </si>
  <si>
    <t>4.9</t>
  </si>
  <si>
    <t>Tiêu chí: đề xuất mức đền bù cho hàng lỗi có hợp lý với từng khách không. Bộ chấm?  (chọn: Mã lệnh / Giám khảo AI / Người quyết)</t>
  </si>
  <si>
    <t>Người quyết</t>
  </si>
  <si>
    <t>35</t>
  </si>
  <si>
    <t>3.3</t>
  </si>
  <si>
    <t>T2 · Bước sai đầu tiên là bước số mấy?</t>
  </si>
  <si>
    <t>41</t>
  </si>
  <si>
    <t>4.10</t>
  </si>
  <si>
    <t>Đầu ra: "Ý định: Đổi hàng". Mã kiểm tra trả về?  (chọn: Đạt · đúng 1 nhãn / Không đạt · không có nhãn hợp lệ / Không đạt · nhiều hơn 1 nhãn)</t>
  </si>
  <si>
    <t>Đạt · đúng 1 nhãn</t>
  </si>
  <si>
    <t>3.4</t>
  </si>
  <si>
    <t>T2 · Mã lỗi gốc là gì?  (chọn: wrong_intent / missing_lookup / premature_commit / missing_escalation / no_next_step)</t>
  </si>
  <si>
    <t>44</t>
  </si>
  <si>
    <t>4.11</t>
  </si>
  <si>
    <t>Đầu ra: "Ý định: đổi size". Mã kiểm tra trả về?  (chọn: Đạt · đúng 1 nhãn / Không đạt · không có nhãn hợp lệ / Không đạt · nhiều hơn 1 nhãn)</t>
  </si>
  <si>
    <t>Không đạt · không có nhãn hợp lệ</t>
  </si>
  <si>
    <t>3.5</t>
  </si>
  <si>
    <t>T3 · Bước sai đầu tiên là bước số mấy?</t>
  </si>
  <si>
    <t>4.12</t>
  </si>
  <si>
    <t>Đầu ra: "Ý định: Đổi hàng; Trả hàng". Mã kiểm tra trả về?  (chọn: Đạt · đúng 1 nhãn / Không đạt · không có nhãn hợp lệ / Không đạt · nhiều hơn 1 nhãn)</t>
  </si>
  <si>
    <t>Không đạt · nhiều hơn 1 nhãn</t>
  </si>
  <si>
    <t>3.6</t>
  </si>
  <si>
    <t>T3 · Mã lỗi gốc là gì?  (chọn: wrong_intent / missing_lookup / premature_commit / missing_escalation / no_next_step)</t>
  </si>
  <si>
    <t>4.13</t>
  </si>
  <si>
    <t>Một bài đánh giá mới chạy ra tỷ lệ đạt 0% trên cả 50 tin. Việc đầu tiên nên làm?</t>
  </si>
  <si>
    <t>3.7</t>
  </si>
  <si>
    <t>T4 · Bước sai đầu tiên là bước số mấy?</t>
  </si>
  <si>
    <t>47</t>
  </si>
  <si>
    <t>4.14</t>
  </si>
  <si>
    <t>Đọc bảng v1.3 / v1.4. Kết luận nào đúng?  (chọn: Phát hành / Lặp tiếp / Quay về bản cũ)</t>
  </si>
  <si>
    <t>3.8</t>
  </si>
  <si>
    <t>Lặp tiếp</t>
  </si>
  <si>
    <t>T4 · Mã lỗi gốc là gì?  (chọn: wrong_intent / missing_lookup / premature_commit / missing_escalation / no_next_step)</t>
  </si>
  <si>
    <t>50</t>
  </si>
  <si>
    <t>4.15</t>
  </si>
  <si>
    <t>Khi Lặp tiếp, đòn nào làm trước?  (chọn: Sửa câu lệnh / Đổi mô hình / Đổi kiến trúc)</t>
  </si>
  <si>
    <t>3.9</t>
  </si>
  <si>
    <t>Sửa câu lệnh</t>
  </si>
  <si>
    <t>T2 · Vì sao chỉ đọc lời trợ lý nói thì không thấy lỗi?</t>
  </si>
  <si>
    <t>A</t>
  </si>
  <si>
    <t>Bài 5 · Hiệu chỉnh giám khảo AI (10 phút) · sau Phần 06 · trang 51–59</t>
  </si>
  <si>
    <t>Tiêu chí: "Đạt = ghi nhận cảm xúc của khách TRƯỚC khi xử lý. Nhắc lại sự việc chưa phải là ghi nhận cảm xúc."</t>
  </si>
  <si>
    <t>32</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</si>
  <si>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</si>
  <si>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</si>
  <si>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</si>
  <si>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</si>
  <si>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</si>
  <si>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 15 câu</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</si>
  <si>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</si>
  <si>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</si>
  <si>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</si>
  <si>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</si>
  <si>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</si>
  <si>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</si>
  <si>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</si>
  <si>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</si>
  <si>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</si>
  <si>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</si>
  <si>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5.3</t>
  </si>
  <si>
    <t>Tên nhóm: NaCl
Thành viên:
1. Nguyễn Thị Hồng Nhung - 2A202602557
2. Phan Thị Khánh Linh -  2A202602360
3. Trần Thị Thu Trang - 2A202602581
4. Thân Thị Kim Chi - 2A202602797
5. Hồ Hoàng Phương Anh - 2A202602460</t>
  </si>
  <si>
    <t>Số tin hai bên khớp nhau?</t>
  </si>
  <si>
    <t>5.4</t>
  </si>
  <si>
    <t>Ô "cả hai Đạt" (nhận đúng ca đạt) có bao nhiêu tin?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</si>
  <si>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</si>
  <si>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</si>
  <si>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</si>
  <si>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đổi trả của khách (kèm kết quả tra_cuu_don) → soạn 1 câu trả lời đúng chính sách CS-1 đến CS-6: đã tra cứu đơn trước khi hứa, không bịa mã đơn, nêu 1 bước tiếp theo cụ thể (tạo yêu cầu / hỏi mã đơn / chuyển người), tối đa 80 từ, phản hồi dưới 2 giây; ca hàng lỗi hoặc khách đòi gặp người thì gọi chuyen_nhan_vien kèm lý do, không tự hứa đền bù.</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</si>
  <si>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</si>
  <si>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</si>
  <si>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</si>
  <si>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</si>
  <si>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</si>
  <si>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</si>
  <si>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</si>
  <si>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</si>
  <si>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</si>
  <si>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</si>
  <si>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</si>
  <si>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</si>
  <si>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</si>
  <si>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</si>
  <si>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5.9</t>
  </si>
  <si>
    <t>TNR là bao nhiêu? (gõ kèm %)</t>
  </si>
  <si>
    <t>Ý định (Đổi hàng / Trả hàng / Tra cứu đơn / Cần làm rõ)</t>
  </si>
  <si>
    <t>Đổi → tra đơn rồi tạo yêu cầu đổi (CS-1); Trả → tạo yêu cầu trả + báo hoàn tiền 3–5 ngày sau khi kho nhận (CS-2); Tra cứu → chỉ báo trạng thái, không tạo yêu cầu; Cần làm rõ → hỏi lại khách muốn gì.</t>
  </si>
  <si>
    <t>Độ đủ thông tin (đủ mã đơn / thiếu mã đơn / mơ hồ)</t>
  </si>
  <si>
    <t>Đủ mã đơn → gọi tra_cuu_don rồi xử lý (CS-4); thiếu mã đơn → hỏi mã đơn hoặc số điện thoại, không đoán đơn, không tạo yêu cầu (CS-5); mơ hồ → gắn Cần làm rõ và hỏi lại đơn nào, muốn gì.</t>
  </si>
  <si>
    <t>5.10</t>
  </si>
  <si>
    <t>Tình trạng đơn (trong 7 ngày / quá 7 ngày / hàng lỗi trong 30 ngày)</t>
  </si>
  <si>
    <t>Với ngưỡng 85%, kết luận nào đúng?</t>
  </si>
  <si>
    <t>Trong 7 ngày → tạo yêu cầu đổi/trả (CS-1, CS-2); quá 7 ngày (không lỗi) → từ chối, nêu quy định 7 ngày, không hứa hoàn tiền; hàng lỗi trong 30 ngày → gọi chuyen_nhan_vien, không tự hứa đền bù (CS-3, CS-6).</t>
  </si>
  <si>
    <t>Số tổ hợp (tự tính)</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</si>
  <si>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</si>
  <si>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</si>
  <si>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</si>
  <si>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</si>
  <si>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</si>
  <si>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</si>
  <si>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Số tổ hợp phi lý loại đi</t>
  </si>
  <si>
    <t>Còn lại (tự tính)</t>
  </si>
  <si>
    <t>55</t>
  </si>
  <si>
    <t>5.13</t>
  </si>
  <si>
    <t>Sau 3 vòng: tập hiệu chỉnh TPR 90%, TNR 89%; tập kiểm tra giữ riêng TPR 88%, TNR 85%. Chênh lớn nhất giữa hai tập là bao nhiêu điểm?</t>
  </si>
  <si>
    <t>Số tình huống chọn để thử</t>
  </si>
  <si>
    <t>5.14</t>
  </si>
  <si>
    <t>Với kết quả câu 5.13, giám khảo đã hiệu chỉnh xong (chênh ≤ 5 điểm, cả hai ≥ 85%) chưa?  (chọn: Có / Không)</t>
  </si>
  <si>
    <t>Số cách diễn đạt mỗi tình huống</t>
  </si>
  <si>
    <t>Số đầu vào của bộ đề (tự tính)</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</si>
  <si>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</si>
  <si>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</si>
  <si>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</si>
  <si>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</si>
  <si>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</si>
  <si>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</si>
  <si>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</si>
  <si>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</si>
  <si>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</si>
  <si>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</si>
  <si>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</si>
  <si>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</si>
  <si>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</si>
  <si>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</si>
  <si>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</si>
  <si>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</si>
  <si>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</si>
  <si>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hôm qua, mặc chật, đổi sang size L giúp mình nhé, mã MS-2001."</t>
  </si>
  <si>
    <t>/ 18 câu</t>
  </si>
  <si>
    <t>Gọi tra_cuu_don(MS-2001) → nhận 1 ngày, trong 7 ngày → gọi tao_yeu_cau_doi_tra (đổi size L), báo miễn phí đổi lần đầu, nhắc giữ tem mác (CS-1, CS-4).</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</si>
  <si>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</si>
  <si>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</si>
  <si>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"Đơn MS-2002 giao 3 ngày trước, mình muốn trả hàng lấy lại tiền."</t>
  </si>
  <si>
    <t>Gọi tra_cuu_don(MS-2002) → trong 7 ngày → gọi tao_yeu_cau_doi_tra (trả hàng), báo tiền hoàn trong 3–5 ngày làm việc sau khi kho nhận lại hàng (CS-2, CS-4).</t>
  </si>
  <si>
    <t>Phần</t>
  </si>
  <si>
    <t>Tối đa</t>
  </si>
  <si>
    <t>Đủ điểm</t>
  </si>
  <si>
    <t>Một nửa</t>
  </si>
  <si>
    <t>Không điểm</t>
  </si>
  <si>
    <t>Điểm chấm</t>
  </si>
  <si>
    <t>"Đơn MS-2003 của mình giờ tới đâu rồi shop?"</t>
  </si>
  <si>
    <t>Gọi tra_cuu_don(MS-2003), báo trạng thái và ngày giao dự kiến/đã giao; không tạo yêu cầu đổi trả (CS-4).</t>
  </si>
  <si>
    <t>X1</t>
  </si>
  <si>
    <t>Tổng hợp kết quả tự kiểm tra</t>
  </si>
  <si>
    <t>Bài</t>
  </si>
  <si>
    <t>"Cái đơn hôm bữa ấy, đổi giúp mình nha." (không có mã đơn)</t>
  </si>
  <si>
    <t>Có đủ đầu vào, đầu ra kiểm được và ràng buộc bằng số; nói rõ ca nào chuyển người</t>
  </si>
  <si>
    <t>Gắn Cần làm rõ; hỏi mã đơn hoặc số điện thoại đặt hàng và muốn đổi gì; không đoán đơn, không tạo yêu cầu (CS-5).</t>
  </si>
  <si>
    <t>Có câu nhưng thiếu ràng buộc hoặc đầu ra không kiểm được</t>
  </si>
  <si>
    <t>Mục tiêu chung chung ("trả lời tốt hơn")</t>
  </si>
  <si>
    <t>Tổng số câu</t>
  </si>
  <si>
    <t>X2</t>
  </si>
  <si>
    <t>"Mình đặt 2 đơn: MS-2005 muốn trả, MS-2006 muốn đổi sang màu đen."</t>
  </si>
  <si>
    <t>3 chiều đều qua phép thử, ghi rõ hành vi đổi thế nào; số đầu vào 40–50</t>
  </si>
  <si>
    <t>2 chiều qua phép thử hoặc số đầu vào ngoài khoảng</t>
  </si>
  <si>
    <t>Chọn thuộc tính chỉ là cách diễn đạt (lịch sự, độ dài)</t>
  </si>
  <si>
    <t>Gọi tra_cuu_don cho cả MS-2005 và MS-2006; xử lý từng đơn riêng: MS-2005 tạo yêu cầu trả (CS-2), MS-2006 tạo yêu cầu đổi màu (CS-1) nếu còn trong 7 ngày; xác nhận lại cả 2 mã đơn (CS-4).</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</si>
  <si>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</si>
  <si>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</si>
  <si>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</si>
  <si>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</si>
  <si>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</si>
  <si>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</si>
  <si>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</si>
  <si>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</si>
  <si>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"Giày nhận 15 ngày, đế bong hết rồi, mã MS-2007, đổi giúp mình đôi mới."</t>
  </si>
  <si>
    <t>X5</t>
  </si>
  <si>
    <t>Gắn Trả hàng + cờ hàng lỗi; gọi tra_cuu_don(MS-2007) → 15 ngày, trong hạn 30 ngày → gọi chuyen_nhan_vien kèm lý do "hàng lỗi"; không từ chối vì quá 7 ngày, không tự hứa đền bù (CS-3, CS-6).</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</si>
  <si>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</si>
  <si>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</si>
  <si>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</si>
  <si>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</si>
  <si>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</si>
  <si>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</si>
  <si>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</si>
  <si>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</si>
  <si>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"Đơn MS-0871 mình nhận 20 ngày rồi, trả lấy tiền được không?" (tuần trước trợ lý từng hứa hoàn tiền sai)</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</si>
  <si>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</si>
  <si>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</si>
  <si>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</si>
  <si>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Gọi tra_cuu_don(MS-0871) → quá 7 ngày, không lỗi → từ chối lịch sự, nêu quy định trả hàng 7 ngày; KHÔNG hứa hoàn tiền, không tạo yêu cầu; nếu hàng lỗi thì chuyển nhân viên (CS-2, CS-3, CS-4).</t>
  </si>
  <si>
    <t>"Mình gửi trả hàng đơn MS-2008 rồi, shop hoàn tiền ngay cho mình đi."</t>
  </si>
  <si>
    <t>Gọi tra_cuu_don(MS-2008) TRƯỚC khi trả lời; không xác nhận "đã hoàn tiền"; chỉ báo tiền hoàn trong 3–5 ngày làm việc sau khi kho nhận lại hàng, theo trạng thái đơn tra được (CS-2, CS-4).</t>
  </si>
  <si>
    <t>Số tình huống đại diện</t>
  </si>
  <si>
    <t>Số tình huống thử thách</t>
  </si>
  <si>
    <t>Xưởng · các ô tự kiểm tra</t>
  </si>
  <si>
    <t>Đơn vị công việc AI</t>
  </si>
  <si>
    <t>Số tình huống hồi quy nghiêm trọng</t>
  </si>
  <si>
    <t>Chiều và phễu</t>
  </si>
  <si>
    <t>8 tình huống</t>
  </si>
  <si>
    <t>Đọc 3 vết thực thi mới</t>
  </si>
  <si>
    <t>/ 6 ô</t>
  </si>
  <si>
    <t>4 tiêu chí nhị phân</t>
  </si>
  <si>
    <t>Hiệu chỉnh giám khảo</t>
  </si>
  <si>
    <t>/ 5 ô</t>
  </si>
  <si>
    <t>Kết luận có răng</t>
  </si>
  <si>
    <t>X4 · Đọc 3 vết thực thi mới (7 phút · 1,5 điểm)</t>
  </si>
  <si>
    <t>Với W1, W2, W3: bước sai đầu tiên, mã lỗi gốc, nên sửa ở đâu.</t>
  </si>
  <si>
    <t>W1</t>
  </si>
  <si>
    <t>1 · Khách: "Mình muốn đổi đơn MS-1120 sang màu đen."</t>
  </si>
  <si>
    <t>/ 4 ô</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</si>
  <si>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</si>
  <si>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</si>
  <si>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</si>
  <si>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</si>
  <si>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</si>
  <si>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</si>
  <si>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</si>
  <si>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</si>
  <si>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</si>
  <si>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</si>
  <si>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</si>
  <si>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</si>
  <si>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</si>
  <si>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</si>
  <si>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</si>
  <si>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</si>
  <si>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Sửa câu lệnh: bắt buộc gọi tra_cuu_don trước mọi tao_yeu_cau_doi_tra (CS-4), và thêm bài chấm bằng mã lệnh kiểm tra thứ tự lời gọi công cụ.</t>
  </si>
  <si>
    <t>Sửa câu lệnh phân loại: tin không rõ đơn nào gắn Cần làm rõ; tra theo số điện thoại ra từ 2 đơn trở lên thì hỏi khách chọn đơn, không tự đoán (CS-5).</t>
  </si>
  <si>
    <t>Sửa câu lệnh/quy tắc điều phối: cờ hàng lỗi hoặc khách đòi gặp người thì bắt buộc gọi chuyen_nhan_vien kèm lý do (CS-3, CS-6), không tự trả lời chính sách trả hàng.</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</si>
  <si>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</si>
  <si>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</si>
  <si>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</si>
  <si>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</si>
  <si>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</si>
  <si>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</si>
  <si>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Khoảng 100 ca</t>
  </si>
  <si>
    <t>Trục 1</t>
  </si>
  <si>
    <t>Bộ chấm</t>
  </si>
  <si>
    <t>Ngưỡng</t>
  </si>
  <si>
    <t>TC1</t>
  </si>
  <si>
    <t>Phát hành</t>
  </si>
  <si>
    <t>Trong vết, lời gọi tra_cuu_don xuất hiện TRƯỚC lời gọi tao_yeu_cau_doi_tra và trước mọi câu xác nhận đổi/trả/hoàn tiền.</t>
  </si>
  <si>
    <t>Trợ lý nói "Dạ để shop kiểm tra đơn" → gọi tra_cuu_don → rồi mới nói "đơn còn hạn, shop đã tạo yêu cầu đổi".</t>
  </si>
  <si>
    <t>Có gọi tra_cuu_don nhưng SAU câu "shop sẽ đổi cho bạn ạ".</t>
  </si>
  <si>
    <t>≥ 95%</t>
  </si>
  <si>
    <t>TC2</t>
  </si>
  <si>
    <t>Không bịa mã đơn</t>
  </si>
  <si>
    <t>Đổi mô hình</t>
  </si>
  <si>
    <t>Chặn nhầm</t>
  </si>
  <si>
    <t>Mọi chuỗi MS-xxxx trong câu trả lời trùng với mã khách gửi hoặc mã do tra_cuu_don trả về trong vết.</t>
  </si>
  <si>
    <t>Khách không gửi mã; tra theo số điện thoại ra đúng 1 đơn MS-1187; câu trả lời nhắc MS-1187.</t>
  </si>
  <si>
    <t>C</t>
  </si>
  <si>
    <t>Khoảng 10.000 ca</t>
  </si>
  <si>
    <t>Khách gửi MS-1043, câu trả lời ghi MS-1034 (đảo 2 chữ số).</t>
  </si>
  <si>
    <t>Trục 3</t>
  </si>
  <si>
    <t>100% (0 tin bịa mã)</t>
  </si>
  <si>
    <t>Quay về bản cũ</t>
  </si>
  <si>
    <t>TC3</t>
  </si>
  <si>
    <t>Đổi kiến trúc</t>
  </si>
  <si>
    <t>Chuyển nhân viên khi hàng lỗi hoặc khách đòi gặp người</t>
  </si>
  <si>
    <t>Tin có nhãn chuẩn "cần chuyển" (hàng lỗi hoặc khách yêu cầu gặp người): vết có chuyen_nhan_vien kèm lý do và câu trả lời không nêu mức đền bù. Tin không có nhãn đó: không gọi chuyen_nhan_vien.</t>
  </si>
  <si>
    <t>Mã lệnh (lời gọi công cụ) + người kiểm mẫu 10%</t>
  </si>
  <si>
    <t>Khách báo áo rách nhưng không đòi gặp người; trợ lý gọi chuyen_nhan_vien(lý do: hàng lỗi) và nói "nhân viên sẽ liên hệ bạn trong hôm nay".</t>
  </si>
  <si>
    <t>Có gọi chuyen_nhan_vien nhưng câu trả lời vẫn hứa "shop sẽ đổi đôi mới cho bạn".</t>
  </si>
  <si>
    <t>TC4</t>
  </si>
  <si>
    <t>Ghi nhận cảm xúc trước khi xử lý</t>
  </si>
  <si>
    <t>Câu đầu tiên của câu trả lời nói ra cảm xúc hoặc sự bất tiện của khách (xin lỗi, tiếc, hiểu bạn bực) trước thông tin chính sách; chỉ nhắc lại sự việc thì không tính.</t>
  </si>
  <si>
    <t>"Dạ shop xin lỗi vì bạn phải nhắn 3 lần, đơn MS-1001 shop chuyển nhân viên ngay ạ." (1 vế ngắn nhưng có cảm xúc)</t>
  </si>
  <si>
    <t>"Dạ shop đã nhận thông tin áo bị rách của bạn, đơn MS-1001..." (chỉ nhắc lại sự việc)</t>
  </si>
  <si>
    <t>≥ 80% (giám khảo đã hiệu chỉnh TPR, TNR ≥ 85%)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</si>
  <si>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</si>
  <si>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</si>
  <si>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</si>
  <si>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</si>
  <si>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</si>
  <si>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</si>
  <si>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</si>
  <si>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</si>
  <si>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</si>
  <si>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</si>
  <si>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</si>
  <si>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</si>
  <si>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</si>
  <si>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</si>
  <si>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</si>
  <si>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</si>
  <si>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</si>
  <si>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</si>
  <si>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</si>
  <si>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</si>
  <si>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</si>
  <si>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</si>
  <si>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</si>
  <si>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</si>
  <si>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</si>
  <si>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</si>
  <si>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</si>
  <si>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</si>
  <si>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</si>
  <si>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</si>
  <si>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</si>
  <si>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</si>
  <si>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</si>
  <si>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</si>
  <si>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Phát hành v1.4 vì mọi tiêu chí đạt ngưỡng và không tiêu chí nào tụt quá 2 điểm (Ghi nhận cảm xúc 84% → 82%, tụt đúng 2 điểm, vẫn ≥ 80%). Giám sát sau phát hành: (1) Lấy mẫu ngẫu nhiên 5% tin thật mỗi ngày (~15/300 tin) để chấm tiếp bằng bộ chấm hiện có; chị Ngân chấm tay 20 tin/tuần để soi giám khảo AI. (2) 3 tín hiệu trôi + ngưỡng cảnh báo: Ghi nhận cảm xúc &lt; 80% hoặc giảm &gt; 3 điểm so với 82%; Tỷ lệ chuyển nhân viên đúng lúc &lt; 90% (hoặc tỷ lệ tin bị chuyển lệch &gt; 5 điểm so với tuần đầu); Tỷ lệ phản hồi "Không thích" của khách &gt; 10% hoặc thời gian phản hồi trung vị &gt; 2 giây. Tra cứu trước khi hứa &lt; 95% hoặc có 1 tin bịa mã đơn thì cảnh báo ngay. (3) Ai xem, bao lâu: bảng theo dõi tự cập nhật hằng ngày, trưởng nhóm sản phẩm xem mỗi sáng; chị Ngân họp duyệt mỗi thứ Hai trong 4 tuần đầu. Vượt ngưỡng 2 ngày liên tiếp → quay về v1.3 và đưa ca trượt vào bộ chống tái phát.</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</si>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</sst>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0.0"/>
    <numFmt numFmtId="166" formatCode="0.0%"/>
  </numFmts>
  <fonts count="10">
    <font>
      <sz val="11.0"/>
      <color theme="1"/>
      <name val="Calibri"/>
      <scheme val="minor"/>
    </font>
    <font>
      <b/>
      <sz val="14.0"/>
      <color theme="1"/>
      <name val="Cambria"/>
    </font>
    <font>
      <i/>
      <sz val="11.0"/>
      <color rgb="FF595959"/>
      <name val="Cambria"/>
    </font>
    <font>
      <sz val="11.0"/>
      <color theme="1"/>
      <name val="Calibri"/>
    </font>
    <font>
      <b/>
      <sz val="11.0"/>
      <color theme="1"/>
      <name val="Calibri"/>
    </font>
    <font>
      <b/>
      <sz val="11.0"/>
      <color theme="1"/>
      <name val="Cambria"/>
    </font>
    <font>
      <b/>
      <sz val="11.0"/>
      <color rgb="FFFFFFFF"/>
      <name val="Cambria"/>
    </font>
    <font/>
    <font>
      <i/>
      <sz val="10.0"/>
      <color rgb="FF595959"/>
      <name val="Calibri"/>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0"/>
    </xf>
    <xf borderId="1" fillId="2" fontId="6" numFmtId="0" xfId="0" applyAlignment="1" applyBorder="1" applyFill="1" applyFont="1">
      <alignment shrinkToFit="0" vertical="top" wrapText="1"/>
    </xf>
    <xf borderId="2" fillId="2" fontId="6" numFmtId="0" xfId="0" applyAlignment="1" applyBorder="1" applyFill="1" applyFont="1">
      <alignment shrinkToFit="0" vertical="top" wrapText="1"/>
    </xf>
    <xf borderId="3" fillId="0" fontId="7" numFmtId="0" xfId="0" applyBorder="1" applyFont="1"/>
    <xf borderId="1" fillId="0" fontId="3" numFmtId="0" xfId="0" applyAlignment="1" applyBorder="1" applyFont="1">
      <alignment shrinkToFit="0" vertical="top" wrapText="1"/>
    </xf>
    <xf borderId="1" fillId="0" fontId="4" numFmtId="0" xfId="0" applyAlignment="1" applyBorder="1" applyFont="1">
      <alignment shrinkToFit="0" vertical="top" wrapText="1"/>
    </xf>
    <xf borderId="2" fillId="0" fontId="3" numFmtId="0" xfId="0" applyAlignment="1" applyBorder="1" applyFont="1">
      <alignment shrinkToFit="0" vertical="top" wrapText="1"/>
    </xf>
    <xf borderId="1" fillId="3" fontId="3" numFmtId="164" xfId="0" applyAlignment="1" applyBorder="1" applyFill="1" applyFont="1" applyNumberFormat="1">
      <alignment readingOrder="0" shrinkToFit="0" vertical="top" wrapText="1"/>
    </xf>
    <xf borderId="2" fillId="0" fontId="4" numFmtId="0" xfId="0" applyAlignment="1" applyBorder="1" applyFont="1">
      <alignment shrinkToFit="0" vertical="top" wrapText="1"/>
    </xf>
    <xf borderId="0" fillId="0" fontId="8" numFmtId="0" xfId="0" applyAlignment="1" applyFont="1">
      <alignment shrinkToFit="0" vertical="top" wrapText="1"/>
    </xf>
    <xf borderId="1" fillId="4" fontId="3" numFmtId="0" xfId="0" applyAlignment="1" applyBorder="1" applyFill="1" applyFont="1">
      <alignment shrinkToFit="0" vertical="top" wrapText="1"/>
    </xf>
    <xf borderId="1" fillId="3" fontId="3" numFmtId="1" xfId="0" applyAlignment="1" applyBorder="1" applyFill="1" applyFont="1" applyNumberFormat="1">
      <alignment readingOrder="0" shrinkToFit="0" vertical="top" wrapText="1"/>
    </xf>
    <xf borderId="1" fillId="3" fontId="3" numFmtId="9" xfId="0" applyAlignment="1" applyBorder="1" applyFill="1" applyFont="1" applyNumberFormat="1">
      <alignment readingOrder="0" shrinkToFit="0" vertical="top" wrapText="1"/>
    </xf>
    <xf borderId="1" fillId="4" fontId="4" numFmtId="1" xfId="0" applyAlignment="1" applyBorder="1" applyFill="1" applyFont="1" applyNumberFormat="1">
      <alignment shrinkToFit="0" vertical="top" wrapText="1"/>
    </xf>
    <xf borderId="4" fillId="0" fontId="7" numFmtId="0" xfId="0" applyBorder="1" applyFont="1"/>
    <xf borderId="2" fillId="3" fontId="3" numFmtId="164" xfId="0" applyAlignment="1" applyBorder="1" applyFill="1" applyFont="1" applyNumberFormat="1">
      <alignment readingOrder="0" shrinkToFit="0" vertical="top" wrapText="1"/>
    </xf>
    <xf borderId="0" fillId="0" fontId="5" numFmtId="0" xfId="0" applyAlignment="1" applyFont="1">
      <alignment shrinkToFit="0" vertical="top" wrapText="1"/>
    </xf>
    <xf borderId="1" fillId="3" fontId="3" numFmtId="0" xfId="0" applyAlignment="1" applyBorder="1" applyFill="1" applyFont="1">
      <alignment readingOrder="0" shrinkToFit="0" vertical="top" wrapText="1"/>
    </xf>
    <xf borderId="1" fillId="4" fontId="3" numFmtId="1" xfId="0" applyAlignment="1" applyBorder="1" applyFill="1" applyFont="1" applyNumberFormat="1">
      <alignment shrinkToFit="0" vertical="top" wrapText="1"/>
    </xf>
    <xf borderId="1" fillId="3" fontId="3" numFmtId="2" xfId="0" applyAlignment="1" applyBorder="1" applyFill="1" applyFont="1" applyNumberFormat="1">
      <alignment readingOrder="0" shrinkToFit="0" vertical="top" wrapText="1"/>
    </xf>
    <xf borderId="1" fillId="0" fontId="3" numFmtId="165" xfId="0" applyAlignment="1" applyBorder="1" applyFont="1" applyNumberFormat="1">
      <alignment shrinkToFit="0" vertical="top" wrapText="1"/>
    </xf>
    <xf borderId="1" fillId="3" fontId="3" numFmtId="2" xfId="0" applyAlignment="1" applyBorder="1" applyFill="1" applyFont="1" applyNumberFormat="1">
      <alignment shrinkToFit="0" vertical="top" wrapText="1"/>
    </xf>
    <xf borderId="1" fillId="0" fontId="3" numFmtId="1" xfId="0" applyAlignment="1" applyBorder="1" applyFont="1" applyNumberFormat="1">
      <alignment shrinkToFit="0" vertical="top" wrapText="1"/>
    </xf>
    <xf borderId="1" fillId="4" fontId="4" numFmtId="165" xfId="0" applyAlignment="1" applyBorder="1" applyFill="1" applyFont="1" applyNumberFormat="1">
      <alignment shrinkToFit="0" vertical="top" wrapText="1"/>
    </xf>
    <xf borderId="1" fillId="4" fontId="4" numFmtId="2" xfId="0" applyAlignment="1" applyBorder="1" applyFill="1" applyFont="1" applyNumberFormat="1">
      <alignment shrinkToFit="0" vertical="top" wrapText="1"/>
    </xf>
    <xf borderId="0" fillId="0" fontId="9" numFmtId="0" xfId="0" applyFont="1"/>
    <xf borderId="1" fillId="4" fontId="4" numFmtId="166" xfId="0" applyAlignment="1" applyBorder="1" applyFill="1" applyFont="1" applyNumberFormat="1">
      <alignment shrinkToFit="0" vertical="top" wrapText="1"/>
    </xf>
    <xf borderId="1" fillId="0" fontId="3" numFmtId="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14.0"/>
    <col customWidth="1" min="3" max="3" width="70.0"/>
    <col customWidth="1" min="4" max="4" width="12.0"/>
    <col customWidth="1" min="5" max="26" width="8.71"/>
  </cols>
  <sheetData>
    <row r="1">
      <c r="A1" s="1" t="s">
        <v>0</v>
      </c>
    </row>
    <row r="2" ht="33.0" customHeight="1">
      <c r="A2" s="2" t="s">
        <v>6</v>
      </c>
    </row>
    <row r="4" ht="33.0" customHeight="1">
      <c r="A4" s="4" t="s">
        <v>9</v>
      </c>
    </row>
    <row r="5" ht="33.0" customHeight="1">
      <c r="A5" s="3" t="s">
        <v>14</v>
      </c>
    </row>
    <row r="6" ht="33.0" customHeight="1">
      <c r="A6" s="3" t="s">
        <v>18</v>
      </c>
    </row>
    <row r="7" ht="33.0" customHeight="1">
      <c r="A7" s="3" t="s">
        <v>19</v>
      </c>
    </row>
    <row r="8" ht="33.0" customHeight="1">
      <c r="A8" s="3" t="s">
        <v>23</v>
      </c>
    </row>
    <row r="9" ht="18.0" customHeight="1">
      <c r="A9" s="3" t="s">
        <v>24</v>
      </c>
    </row>
    <row r="10" ht="18.0" customHeight="1">
      <c r="A10" s="3" t="s">
        <v>25</v>
      </c>
    </row>
    <row r="12">
      <c r="A12" s="5" t="s">
        <v>26</v>
      </c>
    </row>
    <row r="13" ht="18.0" customHeight="1">
      <c r="A13" s="6" t="s">
        <v>27</v>
      </c>
      <c r="B13" s="6" t="s">
        <v>30</v>
      </c>
      <c r="C13" s="6" t="s">
        <v>32</v>
      </c>
      <c r="D13" s="6" t="s">
        <v>34</v>
      </c>
    </row>
    <row r="14" ht="33.0" customHeight="1">
      <c r="A14" s="9" t="s">
        <v>38</v>
      </c>
      <c r="B14" s="9" t="s">
        <v>42</v>
      </c>
      <c r="C14" s="9" t="s">
        <v>43</v>
      </c>
      <c r="D14" s="9"/>
    </row>
    <row r="15" ht="18.0" customHeight="1">
      <c r="A15" s="9" t="s">
        <v>44</v>
      </c>
      <c r="B15" s="9" t="s">
        <v>46</v>
      </c>
      <c r="C15" s="9" t="s">
        <v>48</v>
      </c>
      <c r="D15" s="9"/>
    </row>
    <row r="16" ht="18.0" customHeight="1">
      <c r="A16" s="9" t="s">
        <v>50</v>
      </c>
      <c r="B16" s="9" t="s">
        <v>46</v>
      </c>
      <c r="C16" s="9" t="s">
        <v>52</v>
      </c>
      <c r="D16" s="9"/>
    </row>
    <row r="17" ht="18.0" customHeight="1">
      <c r="A17" s="9" t="s">
        <v>55</v>
      </c>
      <c r="B17" s="10" t="s">
        <v>59</v>
      </c>
      <c r="C17" s="9" t="s">
        <v>63</v>
      </c>
      <c r="D17" s="9" t="s">
        <v>65</v>
      </c>
    </row>
    <row r="18" ht="18.0" customHeight="1">
      <c r="A18" s="9" t="s">
        <v>67</v>
      </c>
      <c r="B18" s="9" t="s">
        <v>46</v>
      </c>
      <c r="C18" s="9" t="s">
        <v>70</v>
      </c>
      <c r="D18" s="9"/>
    </row>
    <row r="19" ht="18.0" customHeight="1">
      <c r="A19" s="9" t="s">
        <v>73</v>
      </c>
      <c r="B19" s="10" t="s">
        <v>76</v>
      </c>
      <c r="C19" s="9" t="s">
        <v>78</v>
      </c>
      <c r="D19" s="9" t="s">
        <v>80</v>
      </c>
    </row>
    <row r="20" ht="18.0" customHeight="1">
      <c r="A20" s="9" t="s">
        <v>81</v>
      </c>
      <c r="B20" s="9" t="s">
        <v>82</v>
      </c>
      <c r="C20" s="9" t="s">
        <v>84</v>
      </c>
      <c r="D20" s="9"/>
    </row>
    <row r="21" ht="18.0" customHeight="1">
      <c r="A21" s="9" t="s">
        <v>85</v>
      </c>
      <c r="B21" s="9" t="s">
        <v>46</v>
      </c>
      <c r="C21" s="9" t="s">
        <v>87</v>
      </c>
      <c r="D21" s="9"/>
    </row>
    <row r="22" ht="18.0" customHeight="1">
      <c r="A22" s="9" t="s">
        <v>88</v>
      </c>
      <c r="B22" s="10" t="s">
        <v>90</v>
      </c>
      <c r="C22" s="9" t="s">
        <v>92</v>
      </c>
      <c r="D22" s="9" t="s">
        <v>65</v>
      </c>
    </row>
    <row r="23" ht="18.0" customHeight="1">
      <c r="A23" s="9" t="s">
        <v>94</v>
      </c>
      <c r="B23" s="9" t="s">
        <v>46</v>
      </c>
      <c r="C23" s="9" t="s">
        <v>96</v>
      </c>
      <c r="D23" s="9"/>
    </row>
    <row r="24" ht="18.0" customHeight="1">
      <c r="A24" s="9" t="s">
        <v>99</v>
      </c>
      <c r="B24" s="10" t="s">
        <v>101</v>
      </c>
      <c r="C24" s="9" t="s">
        <v>102</v>
      </c>
      <c r="D24" s="9" t="s">
        <v>65</v>
      </c>
    </row>
    <row r="25" ht="18.0" customHeight="1">
      <c r="A25" s="9" t="s">
        <v>105</v>
      </c>
      <c r="B25" s="9" t="s">
        <v>82</v>
      </c>
      <c r="C25" s="9" t="s">
        <v>84</v>
      </c>
      <c r="D25" s="9"/>
    </row>
    <row r="26" ht="18.0" customHeight="1">
      <c r="A26" s="9" t="s">
        <v>110</v>
      </c>
      <c r="B26" s="9" t="s">
        <v>46</v>
      </c>
      <c r="C26" s="9" t="s">
        <v>113</v>
      </c>
      <c r="D26" s="9"/>
    </row>
    <row r="27" ht="18.0" customHeight="1">
      <c r="A27" s="9" t="s">
        <v>115</v>
      </c>
      <c r="B27" s="10" t="s">
        <v>116</v>
      </c>
      <c r="C27" s="9" t="s">
        <v>117</v>
      </c>
      <c r="D27" s="9" t="s">
        <v>65</v>
      </c>
    </row>
    <row r="28" ht="18.0" customHeight="1">
      <c r="A28" s="9" t="s">
        <v>118</v>
      </c>
      <c r="B28" s="9" t="s">
        <v>46</v>
      </c>
      <c r="C28" s="9" t="s">
        <v>126</v>
      </c>
      <c r="D28" s="9"/>
    </row>
    <row r="29" ht="33.0" customHeight="1">
      <c r="A29" s="9" t="s">
        <v>128</v>
      </c>
      <c r="B29" s="10" t="s">
        <v>131</v>
      </c>
      <c r="C29" s="9" t="s">
        <v>133</v>
      </c>
      <c r="D29" s="9" t="s">
        <v>134</v>
      </c>
    </row>
    <row r="30" ht="18.0" customHeight="1">
      <c r="A30" s="9" t="s">
        <v>136</v>
      </c>
      <c r="B30" s="9" t="s">
        <v>138</v>
      </c>
      <c r="C30" s="9" t="s">
        <v>141</v>
      </c>
      <c r="D30" s="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D2"/>
    <mergeCell ref="A4:D4"/>
    <mergeCell ref="A5:D5"/>
    <mergeCell ref="A6:D6"/>
    <mergeCell ref="A7:D7"/>
    <mergeCell ref="A8:D8"/>
    <mergeCell ref="A9:D9"/>
    <mergeCell ref="A10:D10"/>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34.0"/>
    <col customWidth="1" min="3" max="3" width="70.0"/>
    <col customWidth="1" min="4" max="26" width="8.71"/>
  </cols>
  <sheetData>
    <row r="1">
      <c r="A1" s="1" t="s">
        <v>2</v>
      </c>
    </row>
    <row r="2" ht="33.0" customHeight="1">
      <c r="A2" s="2" t="s">
        <v>5</v>
      </c>
    </row>
    <row r="3" ht="18.0" customHeight="1">
      <c r="A3" s="3" t="s">
        <v>7</v>
      </c>
    </row>
    <row r="4" ht="18.0" customHeight="1">
      <c r="A4" s="3" t="s">
        <v>11</v>
      </c>
    </row>
    <row r="6">
      <c r="A6" s="5" t="s">
        <v>15</v>
      </c>
    </row>
    <row r="7" ht="18.0" customHeight="1">
      <c r="A7" s="6" t="s">
        <v>20</v>
      </c>
      <c r="B7" s="6" t="s">
        <v>32</v>
      </c>
      <c r="C7" s="6" t="s">
        <v>41</v>
      </c>
    </row>
    <row r="8" ht="18.0" customHeight="1">
      <c r="A8" s="10" t="s">
        <v>47</v>
      </c>
      <c r="B8" s="9" t="s">
        <v>49</v>
      </c>
      <c r="C8" s="9" t="s">
        <v>51</v>
      </c>
    </row>
    <row r="9" ht="33.0" customHeight="1">
      <c r="A9" s="10" t="s">
        <v>53</v>
      </c>
      <c r="B9" s="9" t="s">
        <v>54</v>
      </c>
      <c r="C9" s="9" t="s">
        <v>57</v>
      </c>
    </row>
    <row r="10" ht="33.0" customHeight="1">
      <c r="A10" s="10" t="s">
        <v>58</v>
      </c>
      <c r="B10" s="9" t="s">
        <v>60</v>
      </c>
      <c r="C10" s="9" t="s">
        <v>62</v>
      </c>
    </row>
    <row r="11" ht="33.0" customHeight="1">
      <c r="A11" s="10" t="s">
        <v>64</v>
      </c>
      <c r="B11" s="9" t="s">
        <v>66</v>
      </c>
      <c r="C11" s="9" t="s">
        <v>68</v>
      </c>
    </row>
    <row r="12" ht="18.0" customHeight="1">
      <c r="A12" s="10" t="s">
        <v>69</v>
      </c>
      <c r="B12" s="9" t="s">
        <v>71</v>
      </c>
      <c r="C12" s="9" t="s">
        <v>72</v>
      </c>
    </row>
    <row r="13" ht="18.0" customHeight="1">
      <c r="A13" s="10" t="s">
        <v>75</v>
      </c>
      <c r="B13" s="9" t="s">
        <v>77</v>
      </c>
      <c r="C13" s="9" t="s">
        <v>79</v>
      </c>
    </row>
    <row r="15" ht="18.0" customHeight="1">
      <c r="A15" s="4" t="s">
        <v>83</v>
      </c>
    </row>
    <row r="16" ht="18.0" customHeight="1">
      <c r="A16" s="3" t="s">
        <v>86</v>
      </c>
    </row>
    <row r="18">
      <c r="A18" s="5" t="s">
        <v>91</v>
      </c>
    </row>
    <row r="19" ht="18.0" customHeight="1">
      <c r="A19" s="6"/>
      <c r="B19" s="6" t="s">
        <v>93</v>
      </c>
      <c r="C19" s="6" t="s">
        <v>95</v>
      </c>
    </row>
    <row r="20" ht="18.0" customHeight="1">
      <c r="A20" s="9" t="s">
        <v>97</v>
      </c>
      <c r="B20" s="10" t="s">
        <v>98</v>
      </c>
      <c r="C20" s="9" t="s">
        <v>100</v>
      </c>
    </row>
    <row r="21" ht="18.0" customHeight="1">
      <c r="A21" s="9" t="s">
        <v>103</v>
      </c>
      <c r="B21" s="10" t="s">
        <v>104</v>
      </c>
      <c r="C21" s="9" t="s">
        <v>106</v>
      </c>
    </row>
    <row r="22" ht="18.0" customHeight="1">
      <c r="A22" s="9" t="s">
        <v>108</v>
      </c>
      <c r="B22" s="10" t="s">
        <v>109</v>
      </c>
      <c r="C22" s="9" t="s">
        <v>111</v>
      </c>
    </row>
    <row r="23" ht="18.0" customHeight="1">
      <c r="A23" s="14" t="s">
        <v>114</v>
      </c>
    </row>
    <row r="24" ht="15.75" customHeight="1"/>
    <row r="25" ht="15.75" customHeight="1">
      <c r="A25" s="5" t="s">
        <v>119</v>
      </c>
    </row>
    <row r="26" ht="18.0" customHeight="1">
      <c r="A26" s="6"/>
      <c r="B26" s="6" t="s">
        <v>121</v>
      </c>
      <c r="C26" s="6" t="s">
        <v>122</v>
      </c>
    </row>
    <row r="27" ht="18.0" customHeight="1">
      <c r="A27" s="9" t="s">
        <v>97</v>
      </c>
      <c r="B27" s="10" t="s">
        <v>125</v>
      </c>
      <c r="C27" s="9" t="s">
        <v>127</v>
      </c>
    </row>
    <row r="28" ht="18.0" customHeight="1">
      <c r="A28" s="9" t="s">
        <v>103</v>
      </c>
      <c r="B28" s="10" t="s">
        <v>130</v>
      </c>
      <c r="C28" s="9" t="s">
        <v>132</v>
      </c>
    </row>
    <row r="29" ht="18.0" customHeight="1">
      <c r="A29" s="9" t="s">
        <v>108</v>
      </c>
      <c r="B29" s="10" t="s">
        <v>135</v>
      </c>
      <c r="C29" s="9" t="s">
        <v>137</v>
      </c>
    </row>
    <row r="30" ht="18.0" customHeight="1">
      <c r="A30" s="9" t="s">
        <v>140</v>
      </c>
      <c r="B30" s="10" t="s">
        <v>142</v>
      </c>
      <c r="C30" s="9" t="s">
        <v>143</v>
      </c>
    </row>
    <row r="31" ht="18.0" customHeight="1">
      <c r="A31" s="9" t="s">
        <v>144</v>
      </c>
      <c r="B31" s="10" t="s">
        <v>145</v>
      </c>
      <c r="C31" s="9" t="s">
        <v>146</v>
      </c>
    </row>
    <row r="32" ht="15.75" customHeight="1"/>
    <row r="33" ht="15.75" customHeight="1">
      <c r="A33" s="5" t="s">
        <v>147</v>
      </c>
    </row>
    <row r="34" ht="18.0" customHeight="1">
      <c r="A34" s="6"/>
      <c r="B34" s="6" t="s">
        <v>148</v>
      </c>
      <c r="C34" s="6" t="s">
        <v>149</v>
      </c>
    </row>
    <row r="35" ht="18.0" customHeight="1">
      <c r="A35" s="9" t="s">
        <v>97</v>
      </c>
      <c r="B35" s="9" t="s">
        <v>151</v>
      </c>
      <c r="C35" s="9" t="s">
        <v>153</v>
      </c>
    </row>
    <row r="36" ht="18.0" customHeight="1">
      <c r="A36" s="9" t="s">
        <v>103</v>
      </c>
      <c r="B36" s="9" t="s">
        <v>156</v>
      </c>
      <c r="C36" s="9" t="s">
        <v>157</v>
      </c>
    </row>
    <row r="37" ht="18.0" customHeight="1">
      <c r="A37" s="9" t="s">
        <v>108</v>
      </c>
      <c r="B37" s="9" t="s">
        <v>158</v>
      </c>
      <c r="C37" s="9" t="s">
        <v>159</v>
      </c>
    </row>
    <row r="38" ht="18.0" customHeight="1">
      <c r="A38" s="9" t="s">
        <v>140</v>
      </c>
      <c r="B38" s="9" t="s">
        <v>160</v>
      </c>
      <c r="C38" s="9" t="s">
        <v>161</v>
      </c>
    </row>
    <row r="39" ht="18.0" customHeight="1">
      <c r="A39" s="9" t="s">
        <v>144</v>
      </c>
      <c r="B39" s="9" t="s">
        <v>162</v>
      </c>
      <c r="C39" s="9" t="s">
        <v>163</v>
      </c>
    </row>
    <row r="40" ht="18.0" customHeight="1">
      <c r="A40" s="9" t="s">
        <v>164</v>
      </c>
      <c r="B40" s="9" t="s">
        <v>165</v>
      </c>
      <c r="C40" s="9" t="s">
        <v>166</v>
      </c>
    </row>
    <row r="41" ht="18.0" customHeight="1">
      <c r="A41" s="9" t="s">
        <v>167</v>
      </c>
      <c r="B41" s="9" t="s">
        <v>168</v>
      </c>
      <c r="C41" s="9" t="s">
        <v>169</v>
      </c>
    </row>
    <row r="42" ht="18.0" customHeight="1">
      <c r="A42" s="9" t="s">
        <v>170</v>
      </c>
      <c r="B42" s="9" t="s">
        <v>172</v>
      </c>
      <c r="C42" s="9" t="s">
        <v>174</v>
      </c>
    </row>
    <row r="43" ht="18.0" customHeight="1">
      <c r="A43" s="9" t="s">
        <v>175</v>
      </c>
      <c r="B43" s="9" t="s">
        <v>176</v>
      </c>
      <c r="C43" s="9" t="s">
        <v>177</v>
      </c>
    </row>
    <row r="44" ht="18.0" customHeight="1">
      <c r="A44" s="9" t="s">
        <v>178</v>
      </c>
      <c r="B44" s="9" t="s">
        <v>179</v>
      </c>
      <c r="C44" s="9" t="s">
        <v>180</v>
      </c>
    </row>
    <row r="45" ht="18.0" customHeight="1">
      <c r="A45" s="9" t="s">
        <v>181</v>
      </c>
      <c r="B45" s="9" t="s">
        <v>182</v>
      </c>
      <c r="C45" s="9" t="s">
        <v>183</v>
      </c>
    </row>
    <row r="46" ht="33.0" customHeight="1">
      <c r="A46" s="9" t="s">
        <v>184</v>
      </c>
      <c r="B46" s="9" t="s">
        <v>185</v>
      </c>
      <c r="C46" s="9" t="s">
        <v>186</v>
      </c>
    </row>
    <row r="47" ht="18.0" customHeight="1">
      <c r="A47" s="9" t="s">
        <v>187</v>
      </c>
      <c r="B47" s="9" t="s">
        <v>188</v>
      </c>
      <c r="C47" s="9" t="s">
        <v>189</v>
      </c>
    </row>
    <row r="48" ht="18.0" customHeight="1">
      <c r="A48" s="9" t="s">
        <v>190</v>
      </c>
      <c r="B48" s="9" t="s">
        <v>191</v>
      </c>
      <c r="C48" s="9" t="s">
        <v>193</v>
      </c>
    </row>
    <row r="49" ht="33.0" customHeight="1">
      <c r="A49" s="9" t="s">
        <v>195</v>
      </c>
      <c r="B49" s="9" t="s">
        <v>196</v>
      </c>
      <c r="C49" s="9" t="s">
        <v>197</v>
      </c>
    </row>
    <row r="50" ht="18.0" customHeight="1">
      <c r="A50" s="9" t="s">
        <v>198</v>
      </c>
      <c r="B50" s="9" t="s">
        <v>199</v>
      </c>
      <c r="C50" s="9" t="s">
        <v>200</v>
      </c>
    </row>
    <row r="51" ht="18.0" customHeight="1">
      <c r="A51" s="9" t="s">
        <v>202</v>
      </c>
      <c r="B51" s="9" t="s">
        <v>204</v>
      </c>
      <c r="C51" s="9" t="s">
        <v>205</v>
      </c>
    </row>
    <row r="52" ht="18.0" customHeight="1">
      <c r="A52" s="9" t="s">
        <v>206</v>
      </c>
      <c r="B52" s="9" t="s">
        <v>207</v>
      </c>
      <c r="C52" s="9" t="s">
        <v>208</v>
      </c>
    </row>
    <row r="53" ht="18.0" customHeight="1">
      <c r="A53" s="9" t="s">
        <v>209</v>
      </c>
      <c r="B53" s="9" t="s">
        <v>210</v>
      </c>
      <c r="C53" s="9" t="s">
        <v>211</v>
      </c>
    </row>
    <row r="54" ht="18.0" customHeight="1">
      <c r="A54" s="9" t="s">
        <v>212</v>
      </c>
      <c r="B54" s="9" t="s">
        <v>213</v>
      </c>
      <c r="C54" s="9" t="s">
        <v>215</v>
      </c>
    </row>
    <row r="55" ht="18.0" customHeight="1">
      <c r="A55" s="9" t="s">
        <v>217</v>
      </c>
      <c r="B55" s="9" t="s">
        <v>218</v>
      </c>
      <c r="C55" s="9" t="s">
        <v>219</v>
      </c>
    </row>
    <row r="56" ht="18.0" customHeight="1">
      <c r="A56" s="9" t="s">
        <v>221</v>
      </c>
      <c r="B56" s="9" t="s">
        <v>223</v>
      </c>
      <c r="C56" s="9" t="s">
        <v>224</v>
      </c>
    </row>
    <row r="57" ht="18.0" customHeight="1">
      <c r="A57" s="9" t="s">
        <v>225</v>
      </c>
      <c r="B57" s="9" t="s">
        <v>226</v>
      </c>
      <c r="C57" s="9" t="s">
        <v>227</v>
      </c>
    </row>
    <row r="58" ht="18.0" customHeight="1">
      <c r="A58" s="9" t="s">
        <v>228</v>
      </c>
      <c r="B58" s="9" t="s">
        <v>229</v>
      </c>
      <c r="C58" s="9" t="s">
        <v>230</v>
      </c>
    </row>
    <row r="59" ht="18.0" customHeight="1">
      <c r="A59" s="9" t="s">
        <v>231</v>
      </c>
      <c r="B59" s="9" t="s">
        <v>232</v>
      </c>
      <c r="C59" s="9" t="s">
        <v>233</v>
      </c>
    </row>
    <row r="60" ht="18.0" customHeight="1">
      <c r="A60" s="9" t="s">
        <v>120</v>
      </c>
      <c r="B60" s="9" t="s">
        <v>234</v>
      </c>
      <c r="C60" s="9" t="s">
        <v>235</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C2"/>
    <mergeCell ref="A3:C3"/>
    <mergeCell ref="A4:C4"/>
    <mergeCell ref="A15:C15"/>
    <mergeCell ref="A16:C16"/>
    <mergeCell ref="A23:C23"/>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1</v>
      </c>
    </row>
    <row r="2" ht="18.0" customHeight="1">
      <c r="A2" s="2" t="s">
        <v>4</v>
      </c>
    </row>
    <row r="4" ht="18.0" customHeight="1">
      <c r="A4" s="3" t="s">
        <v>8</v>
      </c>
    </row>
    <row r="5" ht="18.0" customHeight="1">
      <c r="A5" s="3" t="s">
        <v>12</v>
      </c>
    </row>
    <row r="6" ht="18.0" customHeight="1">
      <c r="A6" s="3" t="s">
        <v>16</v>
      </c>
    </row>
    <row r="8" ht="33.0" customHeight="1">
      <c r="A8" s="7" t="s">
        <v>22</v>
      </c>
      <c r="B8" s="8"/>
      <c r="C8" s="6" t="s">
        <v>29</v>
      </c>
      <c r="D8" s="6" t="s">
        <v>33</v>
      </c>
      <c r="E8" s="6" t="s">
        <v>36</v>
      </c>
    </row>
    <row r="9" ht="18.0" customHeight="1">
      <c r="A9" s="11" t="s">
        <v>39</v>
      </c>
      <c r="B9" s="8"/>
      <c r="C9" s="9">
        <v>20.0</v>
      </c>
      <c r="D9" s="9">
        <v>16.0</v>
      </c>
      <c r="E9" s="9">
        <v>19.0</v>
      </c>
    </row>
    <row r="10" ht="18.0" customHeight="1">
      <c r="A10" s="11" t="s">
        <v>56</v>
      </c>
      <c r="B10" s="8"/>
      <c r="C10" s="9">
        <v>20.0</v>
      </c>
      <c r="D10" s="9">
        <v>15.0</v>
      </c>
      <c r="E10" s="9">
        <v>17.0</v>
      </c>
    </row>
    <row r="11" ht="18.0" customHeight="1">
      <c r="A11" s="11" t="s">
        <v>74</v>
      </c>
      <c r="B11" s="8"/>
      <c r="C11" s="9">
        <v>10.0</v>
      </c>
      <c r="D11" s="9">
        <v>9.0</v>
      </c>
      <c r="E11" s="9">
        <v>6.0</v>
      </c>
    </row>
    <row r="12" ht="18.0" customHeight="1">
      <c r="A12" s="13" t="s">
        <v>89</v>
      </c>
      <c r="B12" s="8"/>
      <c r="C12" s="10">
        <v>50.0</v>
      </c>
      <c r="D12" s="10">
        <v>40.0</v>
      </c>
      <c r="E12" s="10">
        <v>42.0</v>
      </c>
    </row>
    <row r="14" ht="33.0" customHeight="1">
      <c r="A14" s="3" t="s">
        <v>107</v>
      </c>
    </row>
    <row r="15" ht="33.0" customHeight="1">
      <c r="A15" s="3" t="s">
        <v>112</v>
      </c>
    </row>
    <row r="16" ht="18.0" customHeight="1">
      <c r="A16" s="3" t="s">
        <v>139</v>
      </c>
    </row>
    <row r="18" ht="18.0" customHeight="1">
      <c r="A18" s="6" t="s">
        <v>21</v>
      </c>
      <c r="B18" s="6" t="s">
        <v>28</v>
      </c>
      <c r="C18" s="6" t="s">
        <v>31</v>
      </c>
      <c r="D18" s="6" t="s">
        <v>35</v>
      </c>
      <c r="E18" s="6" t="s">
        <v>37</v>
      </c>
    </row>
    <row r="19" ht="33.0" customHeight="1">
      <c r="A19" s="10" t="s">
        <v>150</v>
      </c>
      <c r="B19" s="9" t="s">
        <v>154</v>
      </c>
      <c r="C19" s="16">
        <v>2.0</v>
      </c>
      <c r="D19" s="15" t="str">
        <f>IF(C19="","",IF(ISNUMBER(C19),IF(ABS(C19-2)&lt;=0.01,"Đúng","Chưa đúng"),"Gõ một số"))</f>
        <v>Đúng</v>
      </c>
      <c r="E19" s="9" t="s">
        <v>206</v>
      </c>
    </row>
    <row r="20" ht="18.0" customHeight="1">
      <c r="A20" s="10" t="s">
        <v>214</v>
      </c>
      <c r="B20" s="9" t="s">
        <v>216</v>
      </c>
      <c r="C20" s="17">
        <v>0.84</v>
      </c>
      <c r="D20" s="15" t="str">
        <f>IF(C20="","",IF(ISNUMBER(C20),IF(OR(ABS(C20-0.84)&lt;=0.006,ABS(C20-84)&lt;=0.6),"Đúng","Chưa đúng"),"Gõ một số"))</f>
        <v>Đúng</v>
      </c>
      <c r="E20" s="9" t="s">
        <v>206</v>
      </c>
    </row>
    <row r="21" ht="18.0" customHeight="1">
      <c r="A21" s="10" t="s">
        <v>239</v>
      </c>
      <c r="B21" s="9" t="s">
        <v>240</v>
      </c>
      <c r="C21" s="12" t="s">
        <v>129</v>
      </c>
      <c r="D21" s="15" t="str">
        <f>IF(C21="","",IF(C21="Có","Đúng","Chưa đúng"))</f>
        <v>Đúng</v>
      </c>
      <c r="E21" s="9" t="s">
        <v>206</v>
      </c>
    </row>
    <row r="22" ht="18.0" customHeight="1">
      <c r="A22" s="10" t="s">
        <v>243</v>
      </c>
      <c r="B22" s="9" t="s">
        <v>244</v>
      </c>
      <c r="C22" s="17">
        <v>0.6</v>
      </c>
      <c r="D22" s="15" t="str">
        <f>IF(C22="","",IF(ISNUMBER(C22),IF(OR(ABS(C22-0.6)&lt;=0.006,ABS(C22-60)&lt;=0.6),"Đúng","Chưa đúng"),"Gõ một số"))</f>
        <v>Đúng</v>
      </c>
      <c r="E22" s="9" t="s">
        <v>206</v>
      </c>
    </row>
    <row r="23" ht="18.0" customHeight="1">
      <c r="A23" s="10" t="s">
        <v>251</v>
      </c>
      <c r="B23" s="9" t="s">
        <v>252</v>
      </c>
      <c r="C23" s="16">
        <v>30.0</v>
      </c>
      <c r="D23" s="15" t="str">
        <f>IF(C23="","",IF(ISNUMBER(C23),IF(ABS(C23-30)&lt;=0.01,"Đúng","Chưa đúng"),"Gõ một số"))</f>
        <v>Đúng</v>
      </c>
      <c r="E23" s="9" t="s">
        <v>206</v>
      </c>
    </row>
    <row r="24" ht="18.0" customHeight="1">
      <c r="A24" s="10" t="s">
        <v>259</v>
      </c>
      <c r="B24" s="9" t="s">
        <v>260</v>
      </c>
      <c r="C24" s="12" t="s">
        <v>261</v>
      </c>
      <c r="D24" s="15" t="str">
        <f>IF(C24="","",IF(C24="B","Đúng","Chưa đúng"))</f>
        <v>Đúng</v>
      </c>
      <c r="E24" s="9" t="s">
        <v>206</v>
      </c>
    </row>
    <row r="25" ht="33.0" customHeight="1">
      <c r="A25" s="10" t="s">
        <v>264</v>
      </c>
      <c r="B25" s="9" t="s">
        <v>265</v>
      </c>
      <c r="C25" s="12" t="s">
        <v>266</v>
      </c>
      <c r="D25" s="15" t="str">
        <f>IF(C25="","",IF(C25="Khoảng 1.000 ca","Đúng","Chưa đúng"))</f>
        <v>Đúng</v>
      </c>
      <c r="E25" s="9" t="s">
        <v>206</v>
      </c>
    </row>
    <row r="26" ht="33.0" customHeight="1">
      <c r="A26" s="10" t="s">
        <v>268</v>
      </c>
      <c r="B26" s="9" t="s">
        <v>269</v>
      </c>
      <c r="C26" s="12" t="s">
        <v>261</v>
      </c>
      <c r="D26" s="15" t="str">
        <f>IF(C26="","",IF(C26="B","Đúng","Chưa đúng"))</f>
        <v>Đúng</v>
      </c>
      <c r="E26" s="9" t="s">
        <v>225</v>
      </c>
    </row>
    <row r="27" ht="33.0" customHeight="1">
      <c r="A27" s="10" t="s">
        <v>271</v>
      </c>
      <c r="B27" s="9" t="s">
        <v>272</v>
      </c>
      <c r="C27" s="12" t="s">
        <v>273</v>
      </c>
      <c r="D27" s="15" t="str">
        <f>IF(C27="","",IF(C27="Trục 2","Đúng","Chưa đúng"))</f>
        <v>Đúng</v>
      </c>
      <c r="E27" s="9" t="s">
        <v>225</v>
      </c>
    </row>
    <row r="28" ht="15.75" customHeight="1"/>
    <row r="29" ht="18.0" customHeight="1">
      <c r="A29" s="13" t="s">
        <v>267</v>
      </c>
      <c r="B29" s="8"/>
      <c r="C29" s="18">
        <f>COUNTIF(D19:D27,"Đúng")</f>
        <v>9</v>
      </c>
      <c r="D29" s="9" t="s">
        <v>274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1:B11"/>
    <mergeCell ref="A12:B12"/>
    <mergeCell ref="A14:E14"/>
    <mergeCell ref="A15:E15"/>
    <mergeCell ref="A16:E16"/>
    <mergeCell ref="A29:B29"/>
    <mergeCell ref="A2:E2"/>
    <mergeCell ref="A4:E4"/>
    <mergeCell ref="A5:E5"/>
    <mergeCell ref="A6:E6"/>
    <mergeCell ref="A8:B8"/>
    <mergeCell ref="A9:B9"/>
    <mergeCell ref="A10:B10"/>
  </mergeCells>
  <dataValidations>
    <dataValidation type="list" allowBlank="1" sqref="C21">
      <formula1>'_ds'!$A$1:$A$2</formula1>
    </dataValidation>
    <dataValidation type="list" allowBlank="1" sqref="C24 C26">
      <formula1>'_ds'!$B$1:$B$3</formula1>
    </dataValidation>
    <dataValidation type="list" allowBlank="1" sqref="C27">
      <formula1>'_ds'!$D$1:$D$3</formula1>
    </dataValidation>
    <dataValidation type="list" allowBlank="1" sqref="C25">
      <formula1>'_ds'!$C$1:$C$3</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v>
      </c>
    </row>
    <row r="2" ht="18.0" customHeight="1">
      <c r="A2" s="2" t="s">
        <v>4</v>
      </c>
    </row>
    <row r="4" ht="18.0" customHeight="1">
      <c r="A4" s="3" t="s">
        <v>10</v>
      </c>
    </row>
    <row r="5" ht="18.0" customHeight="1">
      <c r="A5" s="3" t="s">
        <v>13</v>
      </c>
    </row>
    <row r="7" ht="33.0" customHeight="1">
      <c r="A7" s="3" t="s">
        <v>17</v>
      </c>
    </row>
    <row r="9" ht="18.0" customHeight="1">
      <c r="A9" s="6" t="s">
        <v>21</v>
      </c>
      <c r="B9" s="6" t="s">
        <v>28</v>
      </c>
      <c r="C9" s="6" t="s">
        <v>31</v>
      </c>
      <c r="D9" s="6" t="s">
        <v>35</v>
      </c>
      <c r="E9" s="6" t="s">
        <v>37</v>
      </c>
    </row>
    <row r="10" ht="18.0" customHeight="1">
      <c r="A10" s="10" t="s">
        <v>40</v>
      </c>
      <c r="B10" s="9" t="s">
        <v>45</v>
      </c>
      <c r="C10" s="12" t="s">
        <v>61</v>
      </c>
      <c r="D10" s="15" t="str">
        <f>IF(C10="","",IF(C10="Không","Đúng","Chưa đúng"))</f>
        <v>Đúng</v>
      </c>
      <c r="E10" s="9" t="s">
        <v>120</v>
      </c>
    </row>
    <row r="11" ht="33.0" customHeight="1">
      <c r="A11" s="10" t="s">
        <v>123</v>
      </c>
      <c r="B11" s="9" t="s">
        <v>124</v>
      </c>
      <c r="C11" s="12" t="s">
        <v>129</v>
      </c>
      <c r="D11" s="15" t="str">
        <f>IF(C11="","",IF(C11="Có","Đúng","Chưa đúng"))</f>
        <v>Đúng</v>
      </c>
      <c r="E11" s="9" t="s">
        <v>120</v>
      </c>
    </row>
    <row r="12" ht="18.0" customHeight="1">
      <c r="A12" s="10" t="s">
        <v>152</v>
      </c>
      <c r="B12" s="9" t="s">
        <v>155</v>
      </c>
      <c r="C12" s="12" t="s">
        <v>61</v>
      </c>
      <c r="D12" s="15" t="str">
        <f>IF(C12="","",IF(C12="Không","Đúng","Chưa đúng"))</f>
        <v>Đúng</v>
      </c>
      <c r="E12" s="9" t="s">
        <v>120</v>
      </c>
    </row>
    <row r="13" ht="33.0" customHeight="1">
      <c r="A13" s="10" t="s">
        <v>171</v>
      </c>
      <c r="B13" s="9" t="s">
        <v>173</v>
      </c>
      <c r="C13" s="12" t="s">
        <v>129</v>
      </c>
      <c r="D13" s="15" t="str">
        <f t="shared" ref="D13:D14" si="1">IF(C13="","",IF(C13="Có","Đúng","Chưa đúng"))</f>
        <v>Đúng</v>
      </c>
      <c r="E13" s="9" t="s">
        <v>120</v>
      </c>
    </row>
    <row r="14" ht="33.0" customHeight="1">
      <c r="A14" s="10" t="s">
        <v>192</v>
      </c>
      <c r="B14" s="9" t="s">
        <v>194</v>
      </c>
      <c r="C14" s="12" t="s">
        <v>129</v>
      </c>
      <c r="D14" s="15" t="str">
        <f t="shared" si="1"/>
        <v>Đúng</v>
      </c>
      <c r="E14" s="9" t="s">
        <v>120</v>
      </c>
    </row>
    <row r="15" ht="33.0" customHeight="1">
      <c r="A15" s="10" t="s">
        <v>201</v>
      </c>
      <c r="B15" s="9" t="s">
        <v>203</v>
      </c>
      <c r="C15" s="12" t="s">
        <v>61</v>
      </c>
      <c r="D15" s="15" t="str">
        <f>IF(C15="","",IF(C15="Không","Đúng","Chưa đúng"))</f>
        <v>Đúng</v>
      </c>
      <c r="E15" s="9" t="s">
        <v>120</v>
      </c>
    </row>
    <row r="16" ht="48.0" customHeight="1">
      <c r="A16" s="10" t="s">
        <v>220</v>
      </c>
      <c r="B16" s="9" t="s">
        <v>222</v>
      </c>
      <c r="C16" s="16">
        <v>36.0</v>
      </c>
      <c r="D16" s="15" t="str">
        <f>IF(C16="","",IF(ISNUMBER(C16),IF(ABS(C16-36)&lt;=0.01,"Đúng","Chưa đúng"),"Gõ một số"))</f>
        <v>Đúng</v>
      </c>
      <c r="E16" s="9" t="s">
        <v>236</v>
      </c>
    </row>
    <row r="17" ht="18.0" customHeight="1">
      <c r="A17" s="10" t="s">
        <v>237</v>
      </c>
      <c r="B17" s="9" t="s">
        <v>238</v>
      </c>
      <c r="C17" s="16">
        <v>24.0</v>
      </c>
      <c r="D17" s="15" t="str">
        <f>IF(C17="","",IF(ISNUMBER(C17),IF(ABS(C17-24)&lt;=0.01,"Đúng","Chưa đúng"),"Gõ một số"))</f>
        <v>Đúng</v>
      </c>
      <c r="E17" s="9" t="s">
        <v>236</v>
      </c>
    </row>
    <row r="18" ht="33.0" customHeight="1">
      <c r="A18" s="10" t="s">
        <v>241</v>
      </c>
      <c r="B18" s="9" t="s">
        <v>242</v>
      </c>
      <c r="C18" s="16">
        <v>48.0</v>
      </c>
      <c r="D18" s="15" t="str">
        <f>IF(C18="","",IF(ISNUMBER(C18),IF(ABS(C18-48)&lt;=0.01,"Đúng","Chưa đúng"),"Gõ một số"))</f>
        <v>Đúng</v>
      </c>
      <c r="E18" s="9" t="s">
        <v>236</v>
      </c>
    </row>
    <row r="19" ht="33.0" customHeight="1">
      <c r="A19" s="10" t="s">
        <v>245</v>
      </c>
      <c r="B19" s="9" t="s">
        <v>246</v>
      </c>
      <c r="C19" s="12" t="s">
        <v>247</v>
      </c>
      <c r="D19" s="15" t="str">
        <f>IF(C19="","",IF(C19="Đại diện","Đúng","Chưa đúng"))</f>
        <v>Đúng</v>
      </c>
      <c r="E19" s="9" t="s">
        <v>248</v>
      </c>
    </row>
    <row r="20" ht="33.0" customHeight="1">
      <c r="A20" s="10" t="s">
        <v>249</v>
      </c>
      <c r="B20" s="9" t="s">
        <v>250</v>
      </c>
      <c r="C20" s="12" t="s">
        <v>253</v>
      </c>
      <c r="D20" s="15" t="str">
        <f t="shared" ref="D20:D21" si="2">IF(C20="","",IF(C20="Thử thách","Đúng","Chưa đúng"))</f>
        <v>Đúng</v>
      </c>
      <c r="E20" s="9" t="s">
        <v>248</v>
      </c>
    </row>
    <row r="21" ht="33.0" customHeight="1">
      <c r="A21" s="10" t="s">
        <v>254</v>
      </c>
      <c r="B21" s="9" t="s">
        <v>255</v>
      </c>
      <c r="C21" s="12" t="s">
        <v>253</v>
      </c>
      <c r="D21" s="15" t="str">
        <f t="shared" si="2"/>
        <v>Đúng</v>
      </c>
      <c r="E21" s="9" t="s">
        <v>248</v>
      </c>
    </row>
    <row r="22" ht="48.0" customHeight="1">
      <c r="A22" s="10" t="s">
        <v>256</v>
      </c>
      <c r="B22" s="9" t="s">
        <v>257</v>
      </c>
      <c r="C22" s="12" t="s">
        <v>258</v>
      </c>
      <c r="D22" s="15" t="str">
        <f>IF(C22="","",IF(C22="Hồi quy nghiêm trọng","Đúng","Chưa đúng"))</f>
        <v>Đúng</v>
      </c>
      <c r="E22" s="9" t="s">
        <v>248</v>
      </c>
    </row>
    <row r="23" ht="18.0" customHeight="1">
      <c r="A23" s="10" t="s">
        <v>262</v>
      </c>
      <c r="B23" s="9" t="s">
        <v>263</v>
      </c>
      <c r="C23" s="12" t="s">
        <v>261</v>
      </c>
      <c r="D23" s="15" t="str">
        <f>IF(C23="","",IF(C23="B","Đúng","Chưa đúng"))</f>
        <v>Đúng</v>
      </c>
      <c r="E23" s="9" t="s">
        <v>231</v>
      </c>
    </row>
    <row r="24" ht="15.75" customHeight="1"/>
    <row r="25" ht="18.0" customHeight="1">
      <c r="A25" s="13" t="s">
        <v>267</v>
      </c>
      <c r="B25" s="8"/>
      <c r="C25" s="18">
        <f>COUNTIF(D10:D23,"Đúng")</f>
        <v>14</v>
      </c>
      <c r="D25" s="9" t="s">
        <v>270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5:E5"/>
    <mergeCell ref="A7:E7"/>
    <mergeCell ref="A25:B25"/>
  </mergeCells>
  <dataValidations>
    <dataValidation type="list" allowBlank="1" sqref="C10:C15">
      <formula1>'_ds'!$A$1:$A$2</formula1>
    </dataValidation>
    <dataValidation type="list" allowBlank="1" sqref="C23">
      <formula1>'_ds'!$B$1:$B$3</formula1>
    </dataValidation>
    <dataValidation type="list" allowBlank="1" sqref="C19:C22">
      <formula1>'_ds'!$E$1:$E$3</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276</v>
      </c>
    </row>
    <row r="2" ht="18.0" customHeight="1">
      <c r="A2" s="2" t="s">
        <v>4</v>
      </c>
    </row>
    <row r="4" ht="33.0" customHeight="1">
      <c r="A4" s="3" t="s">
        <v>278</v>
      </c>
    </row>
    <row r="5" ht="18.0" customHeight="1">
      <c r="A5" s="3" t="s">
        <v>280</v>
      </c>
    </row>
    <row r="7" ht="18.0" customHeight="1">
      <c r="A7" s="6" t="s">
        <v>282</v>
      </c>
      <c r="B7" s="7" t="s">
        <v>283</v>
      </c>
      <c r="C7" s="19"/>
      <c r="D7" s="19"/>
      <c r="E7" s="8"/>
    </row>
    <row r="8" ht="18.0" customHeight="1">
      <c r="A8" s="10" t="s">
        <v>288</v>
      </c>
      <c r="B8" s="11" t="s">
        <v>290</v>
      </c>
      <c r="C8" s="19"/>
      <c r="D8" s="19"/>
      <c r="E8" s="8"/>
    </row>
    <row r="9" ht="18.0" customHeight="1">
      <c r="A9" s="10"/>
      <c r="B9" s="11" t="s">
        <v>293</v>
      </c>
      <c r="C9" s="19"/>
      <c r="D9" s="19"/>
      <c r="E9" s="8"/>
    </row>
    <row r="10" ht="18.0" customHeight="1">
      <c r="A10" s="10"/>
      <c r="B10" s="11" t="s">
        <v>296</v>
      </c>
      <c r="C10" s="19"/>
      <c r="D10" s="19"/>
      <c r="E10" s="8"/>
    </row>
    <row r="11" ht="18.0" customHeight="1">
      <c r="A11" s="10"/>
      <c r="B11" s="11" t="s">
        <v>299</v>
      </c>
      <c r="C11" s="19"/>
      <c r="D11" s="19"/>
      <c r="E11" s="8"/>
    </row>
    <row r="12" ht="18.0" customHeight="1">
      <c r="A12" s="10"/>
      <c r="B12" s="11" t="s">
        <v>304</v>
      </c>
      <c r="C12" s="19"/>
      <c r="D12" s="19"/>
      <c r="E12" s="8"/>
    </row>
    <row r="13" ht="18.0" customHeight="1">
      <c r="A13" s="10" t="s">
        <v>309</v>
      </c>
      <c r="B13" s="11" t="s">
        <v>310</v>
      </c>
      <c r="C13" s="19"/>
      <c r="D13" s="19"/>
      <c r="E13" s="8"/>
    </row>
    <row r="14" ht="18.0" customHeight="1">
      <c r="A14" s="10"/>
      <c r="B14" s="11" t="s">
        <v>311</v>
      </c>
      <c r="C14" s="19"/>
      <c r="D14" s="19"/>
      <c r="E14" s="8"/>
    </row>
    <row r="15" ht="18.0" customHeight="1">
      <c r="A15" s="10"/>
      <c r="B15" s="11" t="s">
        <v>313</v>
      </c>
      <c r="C15" s="19"/>
      <c r="D15" s="19"/>
      <c r="E15" s="8"/>
    </row>
    <row r="16" ht="18.0" customHeight="1">
      <c r="A16" s="10"/>
      <c r="B16" s="11" t="s">
        <v>315</v>
      </c>
      <c r="C16" s="19"/>
      <c r="D16" s="19"/>
      <c r="E16" s="8"/>
    </row>
    <row r="17" ht="18.0" customHeight="1">
      <c r="A17" s="10" t="s">
        <v>317</v>
      </c>
      <c r="B17" s="11" t="s">
        <v>318</v>
      </c>
      <c r="C17" s="19"/>
      <c r="D17" s="19"/>
      <c r="E17" s="8"/>
    </row>
    <row r="18" ht="18.0" customHeight="1">
      <c r="A18" s="10"/>
      <c r="B18" s="11" t="s">
        <v>319</v>
      </c>
      <c r="C18" s="19"/>
      <c r="D18" s="19"/>
      <c r="E18" s="8"/>
    </row>
    <row r="19" ht="18.0" customHeight="1">
      <c r="A19" s="10"/>
      <c r="B19" s="11" t="s">
        <v>320</v>
      </c>
      <c r="C19" s="19"/>
      <c r="D19" s="19"/>
      <c r="E19" s="8"/>
    </row>
    <row r="20" ht="18.0" customHeight="1">
      <c r="A20" s="10"/>
      <c r="B20" s="11" t="s">
        <v>321</v>
      </c>
      <c r="C20" s="19"/>
      <c r="D20" s="19"/>
      <c r="E20" s="8"/>
    </row>
    <row r="21" ht="18.0" customHeight="1">
      <c r="A21" s="10" t="s">
        <v>322</v>
      </c>
      <c r="B21" s="11" t="s">
        <v>323</v>
      </c>
      <c r="C21" s="19"/>
      <c r="D21" s="19"/>
      <c r="E21" s="8"/>
    </row>
    <row r="22" ht="18.0" customHeight="1">
      <c r="A22" s="10"/>
      <c r="B22" s="11" t="s">
        <v>327</v>
      </c>
      <c r="C22" s="19"/>
      <c r="D22" s="19"/>
      <c r="E22" s="8"/>
    </row>
    <row r="23" ht="18.0" customHeight="1">
      <c r="A23" s="10"/>
      <c r="B23" s="11" t="s">
        <v>329</v>
      </c>
      <c r="C23" s="19"/>
      <c r="D23" s="19"/>
      <c r="E23" s="8"/>
    </row>
    <row r="24" ht="18.0" customHeight="1">
      <c r="A24" s="10"/>
      <c r="B24" s="11" t="s">
        <v>330</v>
      </c>
      <c r="C24" s="19"/>
      <c r="D24" s="19"/>
      <c r="E24" s="8"/>
    </row>
    <row r="25" ht="15.75" customHeight="1"/>
    <row r="26" ht="33.0" customHeight="1">
      <c r="A26" s="3" t="s">
        <v>332</v>
      </c>
    </row>
    <row r="27" ht="15.75" customHeight="1"/>
    <row r="28" ht="18.0" customHeight="1">
      <c r="A28" s="6" t="s">
        <v>21</v>
      </c>
      <c r="B28" s="6" t="s">
        <v>28</v>
      </c>
      <c r="C28" s="6" t="s">
        <v>31</v>
      </c>
      <c r="D28" s="6" t="s">
        <v>35</v>
      </c>
      <c r="E28" s="6" t="s">
        <v>37</v>
      </c>
    </row>
    <row r="29" ht="18.0" customHeight="1">
      <c r="A29" s="10" t="s">
        <v>335</v>
      </c>
      <c r="B29" s="9" t="s">
        <v>336</v>
      </c>
      <c r="C29" s="16">
        <v>2.0</v>
      </c>
      <c r="D29" s="15" t="str">
        <f>IF(C29="","",IF(ISNUMBER(C29),IF(ABS(C29-2)&lt;=0.01,"Đúng","Chưa đúng"),"Gõ một số"))</f>
        <v>Đúng</v>
      </c>
      <c r="E29" s="9" t="s">
        <v>352</v>
      </c>
    </row>
    <row r="30" ht="33.0" customHeight="1">
      <c r="A30" s="10" t="s">
        <v>353</v>
      </c>
      <c r="B30" s="9" t="s">
        <v>354</v>
      </c>
      <c r="C30" s="12" t="s">
        <v>125</v>
      </c>
      <c r="D30" s="15" t="str">
        <f>IF(C30="","",IF(C30="wrong_intent","Đúng","Chưa đúng"))</f>
        <v>Đúng</v>
      </c>
      <c r="E30" s="9" t="s">
        <v>358</v>
      </c>
    </row>
    <row r="31" ht="18.0" customHeight="1">
      <c r="A31" s="10" t="s">
        <v>359</v>
      </c>
      <c r="B31" s="9" t="s">
        <v>360</v>
      </c>
      <c r="C31" s="16">
        <v>3.0</v>
      </c>
      <c r="D31" s="15" t="str">
        <f>IF(C31="","",IF(ISNUMBER(C31),IF(ABS(C31-3)&lt;=0.01,"Đúng","Chưa đúng"),"Gõ một số"))</f>
        <v>Đúng</v>
      </c>
      <c r="E31" s="9" t="s">
        <v>352</v>
      </c>
    </row>
    <row r="32" ht="33.0" customHeight="1">
      <c r="A32" s="10" t="s">
        <v>365</v>
      </c>
      <c r="B32" s="9" t="s">
        <v>366</v>
      </c>
      <c r="C32" s="12" t="s">
        <v>130</v>
      </c>
      <c r="D32" s="15" t="str">
        <f>IF(C32="","",IF(C32="missing_lookup","Đúng","Chưa đúng"))</f>
        <v>Đúng</v>
      </c>
      <c r="E32" s="9" t="s">
        <v>358</v>
      </c>
    </row>
    <row r="33" ht="18.0" customHeight="1">
      <c r="A33" s="10" t="s">
        <v>371</v>
      </c>
      <c r="B33" s="9" t="s">
        <v>372</v>
      </c>
      <c r="C33" s="16">
        <v>4.0</v>
      </c>
      <c r="D33" s="15" t="str">
        <f>IF(C33="","",IF(ISNUMBER(C33),IF(ABS(C33-4)&lt;=0.01,"Đúng","Chưa đúng"),"Gõ một số"))</f>
        <v>Đúng</v>
      </c>
      <c r="E33" s="9" t="s">
        <v>352</v>
      </c>
    </row>
    <row r="34" ht="33.0" customHeight="1">
      <c r="A34" s="10" t="s">
        <v>376</v>
      </c>
      <c r="B34" s="9" t="s">
        <v>377</v>
      </c>
      <c r="C34" s="12" t="s">
        <v>142</v>
      </c>
      <c r="D34" s="15" t="str">
        <f>IF(C34="","",IF(C34="missing_escalation","Đúng","Chưa đúng"))</f>
        <v>Đúng</v>
      </c>
      <c r="E34" s="9" t="s">
        <v>358</v>
      </c>
    </row>
    <row r="35" ht="18.0" customHeight="1">
      <c r="A35" s="10" t="s">
        <v>380</v>
      </c>
      <c r="B35" s="9" t="s">
        <v>381</v>
      </c>
      <c r="C35" s="16">
        <v>4.0</v>
      </c>
      <c r="D35" s="15" t="str">
        <f>IF(C35="","",IF(ISNUMBER(C35),IF(ABS(C35-4)&lt;=0.01,"Đúng","Chưa đúng"),"Gõ một số"))</f>
        <v>Đúng</v>
      </c>
      <c r="E35" s="9" t="s">
        <v>352</v>
      </c>
    </row>
    <row r="36" ht="33.0" customHeight="1">
      <c r="A36" s="10" t="s">
        <v>385</v>
      </c>
      <c r="B36" s="9" t="s">
        <v>387</v>
      </c>
      <c r="C36" s="12" t="s">
        <v>145</v>
      </c>
      <c r="D36" s="15" t="str">
        <f>IF(C36="","",IF(C36="no_next_step","Đúng","Chưa đúng"))</f>
        <v>Đúng</v>
      </c>
      <c r="E36" s="9" t="s">
        <v>358</v>
      </c>
    </row>
    <row r="37" ht="18.0" customHeight="1">
      <c r="A37" s="10" t="s">
        <v>391</v>
      </c>
      <c r="B37" s="9" t="s">
        <v>393</v>
      </c>
      <c r="C37" s="12" t="s">
        <v>394</v>
      </c>
      <c r="D37" s="15" t="str">
        <f>IF(C37="","",IF(C37="A","Đúng","Chưa đúng"))</f>
        <v>Đúng</v>
      </c>
      <c r="E37" s="9" t="s">
        <v>397</v>
      </c>
    </row>
    <row r="38" ht="15.75" customHeight="1"/>
    <row r="39" ht="18.0" customHeight="1">
      <c r="A39" s="13" t="s">
        <v>267</v>
      </c>
      <c r="B39" s="8"/>
      <c r="C39" s="18">
        <f>COUNTIF(D29:D37,"Đúng")</f>
        <v>9</v>
      </c>
      <c r="D39" s="9" t="s">
        <v>274</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A26:E26"/>
    <mergeCell ref="A39:B39"/>
    <mergeCell ref="B18:E18"/>
    <mergeCell ref="B19:E19"/>
    <mergeCell ref="B20:E20"/>
    <mergeCell ref="B21:E21"/>
    <mergeCell ref="B22:E22"/>
    <mergeCell ref="B23:E23"/>
    <mergeCell ref="B24:E24"/>
  </mergeCells>
  <dataValidations>
    <dataValidation type="list" allowBlank="1" sqref="C37">
      <formula1>'_ds'!$B$1:$B$3</formula1>
    </dataValidation>
    <dataValidation type="list" allowBlank="1" sqref="C30 C32 C34 C36">
      <formula1>'_ds'!$F$1:$F$5</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275</v>
      </c>
    </row>
    <row r="2" ht="18.0" customHeight="1">
      <c r="A2" s="2" t="s">
        <v>4</v>
      </c>
    </row>
    <row r="4" ht="33.0" customHeight="1">
      <c r="A4" s="3" t="s">
        <v>277</v>
      </c>
    </row>
    <row r="5" ht="33.0" customHeight="1">
      <c r="A5" s="3" t="s">
        <v>279</v>
      </c>
    </row>
    <row r="6" ht="33.0" customHeight="1">
      <c r="A6" s="3" t="s">
        <v>281</v>
      </c>
    </row>
    <row r="8" ht="31.5" customHeight="1">
      <c r="A8" s="7" t="s">
        <v>284</v>
      </c>
      <c r="B8" s="8"/>
      <c r="C8" s="6" t="s">
        <v>285</v>
      </c>
      <c r="D8" s="6" t="s">
        <v>286</v>
      </c>
      <c r="E8" s="6" t="s">
        <v>287</v>
      </c>
    </row>
    <row r="9" ht="18.0" customHeight="1">
      <c r="A9" s="11" t="s">
        <v>289</v>
      </c>
      <c r="B9" s="8"/>
      <c r="C9" s="9" t="s">
        <v>291</v>
      </c>
      <c r="D9" s="9" t="s">
        <v>292</v>
      </c>
      <c r="E9" s="9" t="s">
        <v>294</v>
      </c>
    </row>
    <row r="10" ht="18.0" customHeight="1">
      <c r="A10" s="11" t="s">
        <v>295</v>
      </c>
      <c r="B10" s="8"/>
      <c r="C10" s="9" t="s">
        <v>297</v>
      </c>
      <c r="D10" s="9" t="s">
        <v>297</v>
      </c>
      <c r="E10" s="9" t="s">
        <v>297</v>
      </c>
    </row>
    <row r="11" ht="18.0" customHeight="1">
      <c r="A11" s="11" t="s">
        <v>298</v>
      </c>
      <c r="B11" s="8"/>
      <c r="C11" s="9" t="s">
        <v>300</v>
      </c>
      <c r="D11" s="9" t="s">
        <v>301</v>
      </c>
      <c r="E11" s="9" t="s">
        <v>302</v>
      </c>
    </row>
    <row r="12" ht="18.0" customHeight="1">
      <c r="A12" s="11" t="s">
        <v>303</v>
      </c>
      <c r="B12" s="8"/>
      <c r="C12" s="9" t="s">
        <v>305</v>
      </c>
      <c r="D12" s="9" t="s">
        <v>306</v>
      </c>
      <c r="E12" s="9" t="s">
        <v>307</v>
      </c>
    </row>
    <row r="14" ht="33.0" customHeight="1">
      <c r="A14" s="3" t="s">
        <v>308</v>
      </c>
    </row>
    <row r="16" ht="18.0" customHeight="1">
      <c r="A16" s="6" t="s">
        <v>21</v>
      </c>
      <c r="B16" s="6" t="s">
        <v>28</v>
      </c>
      <c r="C16" s="6" t="s">
        <v>31</v>
      </c>
      <c r="D16" s="6" t="s">
        <v>35</v>
      </c>
      <c r="E16" s="6" t="s">
        <v>37</v>
      </c>
    </row>
    <row r="17" ht="48.0" customHeight="1">
      <c r="A17" s="10" t="s">
        <v>312</v>
      </c>
      <c r="B17" s="9" t="s">
        <v>314</v>
      </c>
      <c r="C17" s="12" t="s">
        <v>316</v>
      </c>
      <c r="D17" s="15" t="str">
        <f>IF(C17="","",IF(C17="Thiếu đặc tả → sửa câu lệnh","Đúng","Chưa đúng"))</f>
        <v>Đúng</v>
      </c>
      <c r="E17" s="9" t="s">
        <v>324</v>
      </c>
    </row>
    <row r="18" ht="48.0" customHeight="1">
      <c r="A18" s="10" t="s">
        <v>325</v>
      </c>
      <c r="B18" s="9" t="s">
        <v>326</v>
      </c>
      <c r="C18" s="12" t="s">
        <v>328</v>
      </c>
      <c r="D18" s="15" t="str">
        <f>IF(C18="","",IF(C18="Thiếu năng lực hệ thống → sửa kỹ thuật","Đúng","Chưa đúng"))</f>
        <v>Đúng</v>
      </c>
      <c r="E18" s="9" t="s">
        <v>324</v>
      </c>
    </row>
    <row r="19" ht="63.0" customHeight="1">
      <c r="A19" s="10" t="s">
        <v>331</v>
      </c>
      <c r="B19" s="9" t="s">
        <v>333</v>
      </c>
      <c r="C19" s="12" t="s">
        <v>334</v>
      </c>
      <c r="D19" s="15" t="str">
        <f>IF(C19="","",IF(C19="Lúc được lúc không → viết bài đánh giá tự động","Đúng","Chưa đúng"))</f>
        <v>Đúng</v>
      </c>
      <c r="E19" s="9" t="s">
        <v>324</v>
      </c>
    </row>
    <row r="20" ht="33.0" customHeight="1">
      <c r="A20" s="10" t="s">
        <v>337</v>
      </c>
      <c r="B20" s="9" t="s">
        <v>338</v>
      </c>
      <c r="C20" s="12" t="s">
        <v>339</v>
      </c>
      <c r="D20" s="15" t="str">
        <f t="shared" ref="D20:D23" si="1">IF(C20="","",IF(C20="Mã lệnh","Đúng","Chưa đúng"))</f>
        <v>Đúng</v>
      </c>
      <c r="E20" s="9" t="s">
        <v>340</v>
      </c>
    </row>
    <row r="21" ht="33.0" customHeight="1">
      <c r="A21" s="10" t="s">
        <v>341</v>
      </c>
      <c r="B21" s="9" t="s">
        <v>342</v>
      </c>
      <c r="C21" s="12" t="s">
        <v>339</v>
      </c>
      <c r="D21" s="15" t="str">
        <f t="shared" si="1"/>
        <v>Đúng</v>
      </c>
      <c r="E21" s="9" t="s">
        <v>343</v>
      </c>
    </row>
    <row r="22" ht="33.0" customHeight="1">
      <c r="A22" s="10" t="s">
        <v>344</v>
      </c>
      <c r="B22" s="9" t="s">
        <v>345</v>
      </c>
      <c r="C22" s="12" t="s">
        <v>339</v>
      </c>
      <c r="D22" s="15" t="str">
        <f t="shared" si="1"/>
        <v>Đúng</v>
      </c>
      <c r="E22" s="9" t="s">
        <v>346</v>
      </c>
    </row>
    <row r="23" ht="33.0" customHeight="1">
      <c r="A23" s="10" t="s">
        <v>347</v>
      </c>
      <c r="B23" s="9" t="s">
        <v>348</v>
      </c>
      <c r="C23" s="12" t="s">
        <v>339</v>
      </c>
      <c r="D23" s="15" t="str">
        <f t="shared" si="1"/>
        <v>Đúng</v>
      </c>
      <c r="E23" s="9" t="s">
        <v>346</v>
      </c>
    </row>
    <row r="24" ht="33.0" customHeight="1">
      <c r="A24" s="10" t="s">
        <v>349</v>
      </c>
      <c r="B24" s="9" t="s">
        <v>350</v>
      </c>
      <c r="C24" s="12" t="s">
        <v>351</v>
      </c>
      <c r="D24" s="15" t="str">
        <f>IF(C24="","",IF(C24="Giám khảo AI","Đúng","Chưa đúng"))</f>
        <v>Đúng</v>
      </c>
      <c r="E24" s="9" t="s">
        <v>340</v>
      </c>
    </row>
    <row r="25" ht="33.0" customHeight="1">
      <c r="A25" s="10" t="s">
        <v>355</v>
      </c>
      <c r="B25" s="9" t="s">
        <v>356</v>
      </c>
      <c r="C25" s="12" t="s">
        <v>357</v>
      </c>
      <c r="D25" s="15" t="str">
        <f>IF(C25="","",IF(C25="Người quyết","Đúng","Chưa đúng"))</f>
        <v>Đúng</v>
      </c>
      <c r="E25" s="9" t="s">
        <v>361</v>
      </c>
    </row>
    <row r="26" ht="33.0" customHeight="1">
      <c r="A26" s="10" t="s">
        <v>362</v>
      </c>
      <c r="B26" s="9" t="s">
        <v>363</v>
      </c>
      <c r="C26" s="12" t="s">
        <v>364</v>
      </c>
      <c r="D26" s="15" t="str">
        <f>IF(C26="","",IF(C26="Đạt · đúng 1 nhãn","Đúng","Chưa đúng"))</f>
        <v>Đúng</v>
      </c>
      <c r="E26" s="9" t="s">
        <v>367</v>
      </c>
    </row>
    <row r="27" ht="33.0" customHeight="1">
      <c r="A27" s="10" t="s">
        <v>368</v>
      </c>
      <c r="B27" s="9" t="s">
        <v>369</v>
      </c>
      <c r="C27" s="12" t="s">
        <v>370</v>
      </c>
      <c r="D27" s="15" t="str">
        <f>IF(C27="","",IF(C27="Không đạt · không có nhãn hợp lệ","Đúng","Chưa đúng"))</f>
        <v>Đúng</v>
      </c>
      <c r="E27" s="9" t="s">
        <v>367</v>
      </c>
    </row>
    <row r="28" ht="33.0" customHeight="1">
      <c r="A28" s="10" t="s">
        <v>373</v>
      </c>
      <c r="B28" s="9" t="s">
        <v>374</v>
      </c>
      <c r="C28" s="12" t="s">
        <v>375</v>
      </c>
      <c r="D28" s="15" t="str">
        <f>IF(C28="","",IF(C28="Không đạt · nhiều hơn 1 nhãn","Đúng","Chưa đúng"))</f>
        <v>Đúng</v>
      </c>
      <c r="E28" s="9" t="s">
        <v>367</v>
      </c>
    </row>
    <row r="29" ht="33.0" customHeight="1">
      <c r="A29" s="10" t="s">
        <v>378</v>
      </c>
      <c r="B29" s="9" t="s">
        <v>379</v>
      </c>
      <c r="C29" s="12" t="s">
        <v>261</v>
      </c>
      <c r="D29" s="15" t="str">
        <f>IF(C29="","",IF(C29="B","Đúng","Chưa đúng"))</f>
        <v>Đúng</v>
      </c>
      <c r="E29" s="9" t="s">
        <v>382</v>
      </c>
    </row>
    <row r="30" ht="33.0" customHeight="1">
      <c r="A30" s="10" t="s">
        <v>383</v>
      </c>
      <c r="B30" s="9" t="s">
        <v>384</v>
      </c>
      <c r="C30" s="12" t="s">
        <v>386</v>
      </c>
      <c r="D30" s="15" t="str">
        <f>IF(C30="","",IF(C30="Lặp tiếp","Đúng","Chưa đúng"))</f>
        <v>Đúng</v>
      </c>
      <c r="E30" s="9" t="s">
        <v>388</v>
      </c>
    </row>
    <row r="31" ht="33.0" customHeight="1">
      <c r="A31" s="10" t="s">
        <v>389</v>
      </c>
      <c r="B31" s="9" t="s">
        <v>390</v>
      </c>
      <c r="C31" s="12" t="s">
        <v>392</v>
      </c>
      <c r="D31" s="15" t="str">
        <f>IF(C31="","",IF(C31="Sửa câu lệnh","Đúng","Chưa đúng"))</f>
        <v>Đúng</v>
      </c>
      <c r="E31" s="9" t="s">
        <v>388</v>
      </c>
    </row>
    <row r="32" ht="15.75" customHeight="1"/>
    <row r="33" ht="18.0" customHeight="1">
      <c r="A33" s="13" t="s">
        <v>267</v>
      </c>
      <c r="B33" s="8"/>
      <c r="C33" s="18">
        <f>COUNTIF(D17:D31,"Đúng")</f>
        <v>15</v>
      </c>
      <c r="D33" s="9" t="s">
        <v>403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1:B11"/>
    <mergeCell ref="A12:B12"/>
    <mergeCell ref="A14:E14"/>
    <mergeCell ref="A33:B33"/>
    <mergeCell ref="A2:E2"/>
    <mergeCell ref="A4:E4"/>
    <mergeCell ref="A5:E5"/>
    <mergeCell ref="A6:E6"/>
    <mergeCell ref="A8:B8"/>
    <mergeCell ref="A9:B9"/>
    <mergeCell ref="A10:B10"/>
  </mergeCells>
  <dataValidations>
    <dataValidation type="list" allowBlank="1" sqref="C20:C25">
      <formula1>'_ds'!$H$1:$H$3</formula1>
    </dataValidation>
    <dataValidation type="list" allowBlank="1" sqref="C29">
      <formula1>'_ds'!$B$1:$B$3</formula1>
    </dataValidation>
    <dataValidation type="list" allowBlank="1" sqref="C31">
      <formula1>'_ds'!$K$1:$K$3</formula1>
    </dataValidation>
    <dataValidation type="list" allowBlank="1" sqref="C30">
      <formula1>'_ds'!$J$1:$J$3</formula1>
    </dataValidation>
    <dataValidation type="list" allowBlank="1" sqref="C17:C19">
      <formula1>'_ds'!$G$1:$G$3</formula1>
    </dataValidation>
    <dataValidation type="list" allowBlank="1" sqref="C26:C28">
      <formula1>'_ds'!$I$1:$I$3</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395</v>
      </c>
    </row>
    <row r="2" ht="18.0" customHeight="1">
      <c r="A2" s="2" t="s">
        <v>4</v>
      </c>
    </row>
    <row r="4" ht="18.0" customHeight="1">
      <c r="A4" s="3" t="s">
        <v>396</v>
      </c>
    </row>
    <row r="5" ht="18.0" customHeight="1">
      <c r="A5" s="3" t="s">
        <v>398</v>
      </c>
    </row>
    <row r="6" ht="33.0" customHeight="1">
      <c r="A6" s="3" t="s">
        <v>399</v>
      </c>
    </row>
    <row r="8" ht="18.0" customHeight="1">
      <c r="A8" s="6" t="s">
        <v>400</v>
      </c>
      <c r="B8" s="6" t="s">
        <v>401</v>
      </c>
      <c r="C8" s="6" t="s">
        <v>351</v>
      </c>
    </row>
    <row r="9" ht="18.0" customHeight="1">
      <c r="A9" s="9" t="s">
        <v>97</v>
      </c>
      <c r="B9" s="9" t="s">
        <v>402</v>
      </c>
      <c r="C9" s="9" t="s">
        <v>402</v>
      </c>
    </row>
    <row r="10" ht="18.0" customHeight="1">
      <c r="A10" s="9" t="s">
        <v>103</v>
      </c>
      <c r="B10" s="9" t="s">
        <v>402</v>
      </c>
      <c r="C10" s="9" t="s">
        <v>402</v>
      </c>
    </row>
    <row r="11" ht="18.0" customHeight="1">
      <c r="A11" s="9" t="s">
        <v>108</v>
      </c>
      <c r="B11" s="9" t="s">
        <v>404</v>
      </c>
      <c r="C11" s="9" t="s">
        <v>402</v>
      </c>
    </row>
    <row r="12" ht="18.0" customHeight="1">
      <c r="A12" s="9" t="s">
        <v>140</v>
      </c>
      <c r="B12" s="9" t="s">
        <v>402</v>
      </c>
      <c r="C12" s="9" t="s">
        <v>402</v>
      </c>
    </row>
    <row r="13" ht="18.0" customHeight="1">
      <c r="A13" s="9" t="s">
        <v>144</v>
      </c>
      <c r="B13" s="9" t="s">
        <v>402</v>
      </c>
      <c r="C13" s="9" t="s">
        <v>404</v>
      </c>
    </row>
    <row r="14" ht="18.0" customHeight="1">
      <c r="A14" s="9" t="s">
        <v>164</v>
      </c>
      <c r="B14" s="9" t="s">
        <v>404</v>
      </c>
      <c r="C14" s="9" t="s">
        <v>404</v>
      </c>
    </row>
    <row r="15" ht="18.0" customHeight="1">
      <c r="A15" s="9" t="s">
        <v>167</v>
      </c>
      <c r="B15" s="9" t="s">
        <v>402</v>
      </c>
      <c r="C15" s="9" t="s">
        <v>402</v>
      </c>
    </row>
    <row r="16" ht="18.0" customHeight="1">
      <c r="A16" s="9" t="s">
        <v>170</v>
      </c>
      <c r="B16" s="9" t="s">
        <v>404</v>
      </c>
      <c r="C16" s="9" t="s">
        <v>402</v>
      </c>
    </row>
    <row r="17" ht="18.0" customHeight="1">
      <c r="A17" s="9" t="s">
        <v>175</v>
      </c>
      <c r="B17" s="9" t="s">
        <v>402</v>
      </c>
      <c r="C17" s="9" t="s">
        <v>402</v>
      </c>
    </row>
    <row r="18" ht="18.0" customHeight="1">
      <c r="A18" s="9" t="s">
        <v>178</v>
      </c>
      <c r="B18" s="9" t="s">
        <v>404</v>
      </c>
      <c r="C18" s="9" t="s">
        <v>404</v>
      </c>
    </row>
    <row r="19" ht="18.0" customHeight="1">
      <c r="A19" s="9" t="s">
        <v>181</v>
      </c>
      <c r="B19" s="9" t="s">
        <v>402</v>
      </c>
      <c r="C19" s="9" t="s">
        <v>402</v>
      </c>
    </row>
    <row r="20" ht="18.0" customHeight="1">
      <c r="A20" s="9" t="s">
        <v>184</v>
      </c>
      <c r="B20" s="9" t="s">
        <v>402</v>
      </c>
      <c r="C20" s="9" t="s">
        <v>402</v>
      </c>
    </row>
    <row r="21" ht="15.75" customHeight="1"/>
    <row r="22" ht="33.0" customHeight="1">
      <c r="A22" s="3" t="s">
        <v>405</v>
      </c>
    </row>
    <row r="23" ht="15.75" customHeight="1"/>
    <row r="24" ht="18.0" customHeight="1">
      <c r="A24" s="6" t="s">
        <v>21</v>
      </c>
      <c r="B24" s="6" t="s">
        <v>28</v>
      </c>
      <c r="C24" s="6" t="s">
        <v>31</v>
      </c>
      <c r="D24" s="6" t="s">
        <v>35</v>
      </c>
      <c r="E24" s="6" t="s">
        <v>37</v>
      </c>
    </row>
    <row r="25" ht="18.0" customHeight="1">
      <c r="A25" s="10" t="s">
        <v>406</v>
      </c>
      <c r="B25" s="9" t="s">
        <v>407</v>
      </c>
      <c r="C25" s="16">
        <v>8.0</v>
      </c>
      <c r="D25" s="15" t="str">
        <f>IF(C25="","",IF(ISNUMBER(C25),IF(ABS(C25-8)&lt;=0.01,"Đúng","Chưa đúng"),"Gõ một số"))</f>
        <v>Đúng</v>
      </c>
      <c r="E25" s="9" t="s">
        <v>408</v>
      </c>
    </row>
    <row r="26" ht="18.0" customHeight="1">
      <c r="A26" s="10" t="s">
        <v>409</v>
      </c>
      <c r="B26" s="9" t="s">
        <v>410</v>
      </c>
      <c r="C26" s="16">
        <v>9.0</v>
      </c>
      <c r="D26" s="15" t="str">
        <f t="shared" ref="D26:D27" si="1">IF(C26="","",IF(ISNUMBER(C26),IF(ABS(C26-9)&lt;=0.01,"Đúng","Chưa đúng"),"Gõ một số"))</f>
        <v>Đúng</v>
      </c>
      <c r="E26" s="9" t="s">
        <v>408</v>
      </c>
    </row>
    <row r="27" ht="18.0" customHeight="1">
      <c r="A27" s="10" t="s">
        <v>414</v>
      </c>
      <c r="B27" s="9" t="s">
        <v>416</v>
      </c>
      <c r="C27" s="16">
        <v>9.0</v>
      </c>
      <c r="D27" s="15" t="str">
        <f t="shared" si="1"/>
        <v>Đúng</v>
      </c>
      <c r="E27" s="9" t="s">
        <v>408</v>
      </c>
    </row>
    <row r="28" ht="18.0" customHeight="1">
      <c r="A28" s="10" t="s">
        <v>417</v>
      </c>
      <c r="B28" s="9" t="s">
        <v>418</v>
      </c>
      <c r="C28" s="16">
        <v>7.0</v>
      </c>
      <c r="D28" s="15" t="str">
        <f>IF(C28="","",IF(ISNUMBER(C28),IF(ABS(C28-7)&lt;=0.01,"Đúng","Chưa đúng"),"Gõ một số"))</f>
        <v>Đúng</v>
      </c>
      <c r="E28" s="9" t="s">
        <v>408</v>
      </c>
    </row>
    <row r="29" ht="18.0" customHeight="1">
      <c r="A29" s="10" t="s">
        <v>423</v>
      </c>
      <c r="B29" s="9" t="s">
        <v>424</v>
      </c>
      <c r="C29" s="16">
        <v>2.0</v>
      </c>
      <c r="D29" s="15" t="str">
        <f>IF(C29="","",IF(ISNUMBER(C29),IF(ABS(C29-2)&lt;=0.01,"Đúng","Chưa đúng"),"Gõ một số"))</f>
        <v>Đúng</v>
      </c>
      <c r="E29" s="9" t="s">
        <v>408</v>
      </c>
    </row>
    <row r="30" ht="18.0" customHeight="1">
      <c r="A30" s="10" t="s">
        <v>425</v>
      </c>
      <c r="B30" s="9" t="s">
        <v>426</v>
      </c>
      <c r="C30" s="16">
        <v>1.0</v>
      </c>
      <c r="D30" s="15" t="str">
        <f>IF(C30="","",IF(ISNUMBER(C30),IF(ABS(C30-1)&lt;=0.01,"Đúng","Chưa đúng"),"Gõ một số"))</f>
        <v>Đúng</v>
      </c>
      <c r="E30" s="9" t="s">
        <v>408</v>
      </c>
    </row>
    <row r="31" ht="18.0" customHeight="1">
      <c r="A31" s="10" t="s">
        <v>427</v>
      </c>
      <c r="B31" s="9" t="s">
        <v>428</v>
      </c>
      <c r="C31" s="16">
        <v>2.0</v>
      </c>
      <c r="D31" s="15" t="str">
        <f>IF(C31="","",IF(ISNUMBER(C31),IF(ABS(C31-2)&lt;=0.01,"Đúng","Chưa đúng"),"Gõ một số"))</f>
        <v>Đúng</v>
      </c>
      <c r="E31" s="9" t="s">
        <v>408</v>
      </c>
    </row>
    <row r="32" ht="18.0" customHeight="1">
      <c r="A32" s="10" t="s">
        <v>429</v>
      </c>
      <c r="B32" s="9" t="s">
        <v>430</v>
      </c>
      <c r="C32" s="22">
        <v>87.5</v>
      </c>
      <c r="D32" s="15" t="str">
        <f>IF(C32="","",IF(ISNUMBER(C32),IF(OR(ABS(C32-0.875)&lt;=0.006,ABS(C32-87.5)&lt;=0.6),"Đúng","Chưa đúng"),"Gõ một số"))</f>
        <v>Đúng</v>
      </c>
      <c r="E32" s="9" t="s">
        <v>408</v>
      </c>
    </row>
    <row r="33" ht="18.0" customHeight="1">
      <c r="A33" s="10" t="s">
        <v>437</v>
      </c>
      <c r="B33" s="9" t="s">
        <v>438</v>
      </c>
      <c r="C33" s="22">
        <v>50.0</v>
      </c>
      <c r="D33" s="15" t="str">
        <f>IF(C33="","",IF(ISNUMBER(C33),IF(OR(ABS(C33-0.5)&lt;=0.006,ABS(C33-50)&lt;=0.6),"Đúng","Chưa đúng"),"Gõ một số"))</f>
        <v>Đúng</v>
      </c>
      <c r="E33" s="9" t="s">
        <v>408</v>
      </c>
    </row>
    <row r="34" ht="18.0" customHeight="1">
      <c r="A34" s="10" t="s">
        <v>443</v>
      </c>
      <c r="B34" s="9" t="s">
        <v>445</v>
      </c>
      <c r="C34" s="12" t="s">
        <v>261</v>
      </c>
      <c r="D34" s="15" t="str">
        <f>IF(C34="","",IF(C34="B","Đúng","Chưa đúng"))</f>
        <v>Đúng</v>
      </c>
      <c r="E34" s="9" t="s">
        <v>448</v>
      </c>
    </row>
    <row r="35" ht="18.0" customHeight="1">
      <c r="A35" s="10" t="s">
        <v>449</v>
      </c>
      <c r="B35" s="9" t="s">
        <v>450</v>
      </c>
      <c r="C35" s="12" t="s">
        <v>451</v>
      </c>
      <c r="D35" s="15" t="str">
        <f>IF(C35="","",IF(C35="Cho qua lỗi","Đúng","Chưa đúng"))</f>
        <v>Đúng</v>
      </c>
      <c r="E35" s="9" t="s">
        <v>408</v>
      </c>
    </row>
    <row r="36" ht="63.0" customHeight="1">
      <c r="A36" s="10" t="s">
        <v>452</v>
      </c>
      <c r="B36" s="9" t="s">
        <v>453</v>
      </c>
      <c r="C36" s="24">
        <v>0.4</v>
      </c>
      <c r="D36" s="15" t="str">
        <f>IF(C36="","",IF(ISNUMBER(C36),IF(ABS(C36-0.4)&lt;=0.006,"Đúng","Chưa đúng"),"Gõ một số"))</f>
        <v>Đúng</v>
      </c>
      <c r="E36" s="9" t="s">
        <v>456</v>
      </c>
    </row>
    <row r="37" ht="33.0" customHeight="1">
      <c r="A37" s="10" t="s">
        <v>457</v>
      </c>
      <c r="B37" s="9" t="s">
        <v>458</v>
      </c>
      <c r="C37" s="16">
        <v>4.0</v>
      </c>
      <c r="D37" s="15" t="str">
        <f>IF(C37="","",IF(ISNUMBER(C37),IF(ABS(C37-4)&lt;=0.01,"Đúng","Chưa đúng"),"Gõ một số"))</f>
        <v>Đúng</v>
      </c>
      <c r="E37" s="9" t="s">
        <v>448</v>
      </c>
    </row>
    <row r="38" ht="33.0" customHeight="1">
      <c r="A38" s="10" t="s">
        <v>460</v>
      </c>
      <c r="B38" s="9" t="s">
        <v>461</v>
      </c>
      <c r="C38" s="12" t="s">
        <v>129</v>
      </c>
      <c r="D38" s="15" t="str">
        <f>IF(C38="","",IF(C38="Có","Đúng","Chưa đúng"))</f>
        <v>Đúng</v>
      </c>
      <c r="E38" s="9" t="s">
        <v>448</v>
      </c>
    </row>
    <row r="39" ht="33.0" customHeight="1">
      <c r="A39" s="10" t="s">
        <v>464</v>
      </c>
      <c r="B39" s="9" t="s">
        <v>465</v>
      </c>
      <c r="C39" s="12" t="s">
        <v>466</v>
      </c>
      <c r="D39" s="15" t="str">
        <f t="shared" ref="D39:D41" si="2">IF(C39="","",IF(C39="Sai","Đúng","Chưa đúng"))</f>
        <v>Đúng</v>
      </c>
      <c r="E39" s="9" t="s">
        <v>456</v>
      </c>
    </row>
    <row r="40" ht="18.0" customHeight="1">
      <c r="A40" s="10" t="s">
        <v>467</v>
      </c>
      <c r="B40" s="9" t="s">
        <v>468</v>
      </c>
      <c r="C40" s="12" t="s">
        <v>466</v>
      </c>
      <c r="D40" s="15" t="str">
        <f t="shared" si="2"/>
        <v>Đúng</v>
      </c>
      <c r="E40" s="9" t="s">
        <v>469</v>
      </c>
    </row>
    <row r="41" ht="18.0" customHeight="1">
      <c r="A41" s="10" t="s">
        <v>470</v>
      </c>
      <c r="B41" s="9" t="s">
        <v>471</v>
      </c>
      <c r="C41" s="12" t="s">
        <v>466</v>
      </c>
      <c r="D41" s="15" t="str">
        <f t="shared" si="2"/>
        <v>Đúng</v>
      </c>
      <c r="E41" s="9" t="s">
        <v>456</v>
      </c>
    </row>
    <row r="42" ht="33.0" customHeight="1">
      <c r="A42" s="10" t="s">
        <v>472</v>
      </c>
      <c r="B42" s="9" t="s">
        <v>473</v>
      </c>
      <c r="C42" s="12" t="s">
        <v>474</v>
      </c>
      <c r="D42" s="15" t="str">
        <f>IF(C42="","",IF(C42="Đúng","Đúng","Chưa đúng"))</f>
        <v>Đúng</v>
      </c>
      <c r="E42" s="9" t="s">
        <v>475</v>
      </c>
    </row>
    <row r="43" ht="15.75" customHeight="1"/>
    <row r="44" ht="18.0" customHeight="1">
      <c r="A44" s="13" t="s">
        <v>267</v>
      </c>
      <c r="B44" s="8"/>
      <c r="C44" s="18">
        <f>COUNTIF(D25:D42,"Đúng")</f>
        <v>18</v>
      </c>
      <c r="D44" s="9" t="s">
        <v>482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4:E4"/>
    <mergeCell ref="A5:E5"/>
    <mergeCell ref="A6:E6"/>
    <mergeCell ref="A22:E22"/>
    <mergeCell ref="A44:B44"/>
  </mergeCells>
  <dataValidations>
    <dataValidation type="list" allowBlank="1" sqref="C39:C42">
      <formula1>'_ds'!$M$1:$M$2</formula1>
    </dataValidation>
    <dataValidation type="list" allowBlank="1" sqref="C38">
      <formula1>'_ds'!$A$1:$A$2</formula1>
    </dataValidation>
    <dataValidation type="list" allowBlank="1" sqref="C34">
      <formula1>'_ds'!$B$1:$B$3</formula1>
    </dataValidation>
    <dataValidation type="list" allowBlank="1" sqref="C35">
      <formula1>'_ds'!$L$1:$L$2</formula1>
    </dataValidation>
  </dataValidations>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34.0"/>
    <col customWidth="1" min="3" max="3" width="40.0"/>
    <col customWidth="1" min="4" max="4" width="34.0"/>
    <col customWidth="1" min="5" max="5" width="22.0"/>
    <col customWidth="1" min="6" max="7" width="16.0"/>
    <col customWidth="1" min="8" max="26" width="8.71"/>
  </cols>
  <sheetData>
    <row r="1">
      <c r="A1" s="1" t="s">
        <v>411</v>
      </c>
    </row>
    <row r="2" ht="33.0" customHeight="1">
      <c r="A2" s="2" t="s">
        <v>412</v>
      </c>
    </row>
    <row r="3" ht="98.25" customHeight="1">
      <c r="A3" s="13" t="s">
        <v>413</v>
      </c>
      <c r="B3" s="8"/>
      <c r="C3" s="20" t="s">
        <v>415</v>
      </c>
      <c r="D3" s="19"/>
      <c r="E3" s="19"/>
      <c r="F3" s="19"/>
      <c r="G3" s="8"/>
    </row>
    <row r="5" ht="18.0" customHeight="1">
      <c r="A5" s="21" t="s">
        <v>419</v>
      </c>
    </row>
    <row r="6" ht="18.0" customHeight="1">
      <c r="A6" s="3" t="s">
        <v>420</v>
      </c>
    </row>
    <row r="7" ht="61.5" customHeight="1">
      <c r="A7" s="13" t="s">
        <v>421</v>
      </c>
      <c r="B7" s="8"/>
      <c r="C7" s="20" t="s">
        <v>422</v>
      </c>
      <c r="D7" s="19"/>
      <c r="E7" s="19"/>
      <c r="F7" s="8"/>
      <c r="G7" s="15"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ht="18.0" customHeight="1">
      <c r="A9" s="21" t="s">
        <v>431</v>
      </c>
    </row>
    <row r="10" ht="18.0" customHeight="1">
      <c r="A10" s="3" t="s">
        <v>432</v>
      </c>
    </row>
    <row r="11" ht="18.0" customHeight="1">
      <c r="A11" s="6" t="s">
        <v>433</v>
      </c>
      <c r="B11" s="6" t="s">
        <v>434</v>
      </c>
      <c r="C11" s="6" t="s">
        <v>435</v>
      </c>
      <c r="D11" s="7" t="s">
        <v>436</v>
      </c>
      <c r="E11" s="19"/>
      <c r="F11" s="19"/>
      <c r="G11" s="8"/>
    </row>
    <row r="12" ht="33.75" customHeight="1">
      <c r="A12" s="9" t="s">
        <v>97</v>
      </c>
      <c r="B12" s="12" t="s">
        <v>439</v>
      </c>
      <c r="C12" s="16">
        <v>4.0</v>
      </c>
      <c r="D12" s="20" t="s">
        <v>440</v>
      </c>
      <c r="E12" s="19"/>
      <c r="F12" s="19"/>
      <c r="G12" s="8"/>
    </row>
    <row r="13" ht="33.75" customHeight="1">
      <c r="A13" s="9" t="s">
        <v>103</v>
      </c>
      <c r="B13" s="12" t="s">
        <v>441</v>
      </c>
      <c r="C13" s="16">
        <v>3.0</v>
      </c>
      <c r="D13" s="20" t="s">
        <v>442</v>
      </c>
      <c r="E13" s="19"/>
      <c r="F13" s="19"/>
      <c r="G13" s="8"/>
    </row>
    <row r="14" ht="33.75" customHeight="1">
      <c r="A14" s="9" t="s">
        <v>108</v>
      </c>
      <c r="B14" s="12" t="s">
        <v>444</v>
      </c>
      <c r="C14" s="16">
        <v>3.0</v>
      </c>
      <c r="D14" s="20" t="s">
        <v>446</v>
      </c>
      <c r="E14" s="19"/>
      <c r="F14" s="19"/>
      <c r="G14" s="8"/>
    </row>
    <row r="15" ht="18.0" customHeight="1">
      <c r="A15" s="13" t="s">
        <v>447</v>
      </c>
      <c r="B15" s="8"/>
      <c r="C15" s="23">
        <f>IF(COUNT(C12:C14)&lt;3,"",PRODUCT(C12:C14))</f>
        <v>36</v>
      </c>
    </row>
    <row r="16" ht="18.0" customHeight="1">
      <c r="A16" s="13" t="s">
        <v>454</v>
      </c>
      <c r="B16" s="8"/>
      <c r="C16" s="16">
        <v>12.0</v>
      </c>
    </row>
    <row r="17" ht="18.0" customHeight="1">
      <c r="A17" s="13" t="s">
        <v>455</v>
      </c>
      <c r="B17" s="8"/>
      <c r="C17" s="23">
        <f>IF(OR(C15="",C16=""),"",C15-C16)</f>
        <v>24</v>
      </c>
    </row>
    <row r="18" ht="18.0" customHeight="1">
      <c r="A18" s="13" t="s">
        <v>459</v>
      </c>
      <c r="B18" s="8"/>
      <c r="C18" s="16">
        <v>16.0</v>
      </c>
      <c r="D18" s="15" t="str">
        <f>IF(OR(C18="",C17=""),"",IF(C18&gt;C17,"Chọn nhiều hơn số còn lại","Đạt"))</f>
        <v>Đạt</v>
      </c>
    </row>
    <row r="19" ht="18.0" customHeight="1">
      <c r="A19" s="13" t="s">
        <v>462</v>
      </c>
      <c r="B19" s="8"/>
      <c r="C19" s="16">
        <v>3.0</v>
      </c>
    </row>
    <row r="20" ht="18.0" customHeight="1">
      <c r="A20" s="13" t="s">
        <v>463</v>
      </c>
      <c r="B20" s="8"/>
      <c r="C20" s="18">
        <f>IF(OR(C18="",C19=""),"",C18*C19)</f>
        <v>48</v>
      </c>
      <c r="D20" s="15" t="str">
        <f>IF(C20="","",IF(AND(C20&gt;=40,C20&lt;=50),"Đạt","Nên trong khoảng 40–50 (trang 29)"))</f>
        <v>Đạt</v>
      </c>
    </row>
    <row r="21" ht="15.75" customHeight="1"/>
    <row r="22" ht="18.0" customHeight="1">
      <c r="A22" s="21" t="s">
        <v>476</v>
      </c>
    </row>
    <row r="23" ht="18.0" customHeight="1">
      <c r="A23" s="3" t="s">
        <v>477</v>
      </c>
    </row>
    <row r="24" ht="18.0" customHeight="1">
      <c r="A24" s="6" t="s">
        <v>433</v>
      </c>
      <c r="B24" s="6" t="s">
        <v>478</v>
      </c>
      <c r="C24" s="7" t="s">
        <v>479</v>
      </c>
      <c r="D24" s="8"/>
      <c r="E24" s="6" t="s">
        <v>480</v>
      </c>
    </row>
    <row r="25" ht="48.0" customHeight="1">
      <c r="A25" s="9" t="s">
        <v>97</v>
      </c>
      <c r="B25" s="12" t="s">
        <v>481</v>
      </c>
      <c r="C25" s="20" t="s">
        <v>483</v>
      </c>
      <c r="D25" s="8"/>
      <c r="E25" s="12" t="s">
        <v>247</v>
      </c>
    </row>
    <row r="26" ht="48.0" customHeight="1">
      <c r="A26" s="9" t="s">
        <v>103</v>
      </c>
      <c r="B26" s="12" t="s">
        <v>486</v>
      </c>
      <c r="C26" s="20" t="s">
        <v>487</v>
      </c>
      <c r="D26" s="8"/>
      <c r="E26" s="12" t="s">
        <v>247</v>
      </c>
    </row>
    <row r="27" ht="48.0" customHeight="1">
      <c r="A27" s="9" t="s">
        <v>108</v>
      </c>
      <c r="B27" s="12" t="s">
        <v>494</v>
      </c>
      <c r="C27" s="20" t="s">
        <v>495</v>
      </c>
      <c r="D27" s="8"/>
      <c r="E27" s="12" t="s">
        <v>247</v>
      </c>
    </row>
    <row r="28" ht="48.0" customHeight="1">
      <c r="A28" s="9" t="s">
        <v>140</v>
      </c>
      <c r="B28" s="12" t="s">
        <v>499</v>
      </c>
      <c r="C28" s="20" t="s">
        <v>501</v>
      </c>
      <c r="D28" s="8"/>
      <c r="E28" s="12" t="s">
        <v>253</v>
      </c>
    </row>
    <row r="29" ht="48.0" customHeight="1">
      <c r="A29" s="9" t="s">
        <v>144</v>
      </c>
      <c r="B29" s="12" t="s">
        <v>506</v>
      </c>
      <c r="C29" s="20" t="s">
        <v>510</v>
      </c>
      <c r="D29" s="8"/>
      <c r="E29" s="12" t="s">
        <v>253</v>
      </c>
    </row>
    <row r="30" ht="48.0" customHeight="1">
      <c r="A30" s="9" t="s">
        <v>164</v>
      </c>
      <c r="B30" s="12" t="s">
        <v>519</v>
      </c>
      <c r="C30" s="20" t="s">
        <v>521</v>
      </c>
      <c r="D30" s="8"/>
      <c r="E30" s="12" t="s">
        <v>253</v>
      </c>
    </row>
    <row r="31" ht="48.0" customHeight="1">
      <c r="A31" s="9" t="s">
        <v>167</v>
      </c>
      <c r="B31" s="12" t="s">
        <v>530</v>
      </c>
      <c r="C31" s="20" t="s">
        <v>534</v>
      </c>
      <c r="D31" s="8"/>
      <c r="E31" s="12" t="s">
        <v>258</v>
      </c>
    </row>
    <row r="32" ht="48.0" customHeight="1">
      <c r="A32" s="9" t="s">
        <v>170</v>
      </c>
      <c r="B32" s="12" t="s">
        <v>535</v>
      </c>
      <c r="C32" s="20" t="s">
        <v>536</v>
      </c>
      <c r="D32" s="8"/>
      <c r="E32" s="12" t="s">
        <v>258</v>
      </c>
    </row>
    <row r="33" ht="18.0" customHeight="1">
      <c r="B33" s="10" t="s">
        <v>537</v>
      </c>
      <c r="C33" s="23">
        <f>COUNTIF(E25:E32,"Đại diện")</f>
        <v>3</v>
      </c>
    </row>
    <row r="34" ht="18.0" customHeight="1">
      <c r="B34" s="10" t="s">
        <v>538</v>
      </c>
      <c r="C34" s="23">
        <f>COUNTIF(E25:E32,"Thử thách")</f>
        <v>3</v>
      </c>
    </row>
    <row r="35" ht="18.0" customHeight="1">
      <c r="B35" s="10" t="s">
        <v>541</v>
      </c>
      <c r="C35" s="23">
        <f>COUNTIF(E25:E32,"Hồi quy nghiêm trọng")</f>
        <v>2</v>
      </c>
    </row>
    <row r="36" ht="18.0" customHeight="1">
      <c r="B36" s="10" t="s">
        <v>35</v>
      </c>
      <c r="C36" s="15"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7" ht="15.75" customHeight="1"/>
    <row r="38" ht="18.0" customHeight="1">
      <c r="A38" s="21" t="s">
        <v>550</v>
      </c>
    </row>
    <row r="39" ht="18.0" customHeight="1">
      <c r="A39" s="3" t="s">
        <v>551</v>
      </c>
    </row>
    <row r="40" ht="18.0" customHeight="1">
      <c r="A40" s="6" t="s">
        <v>282</v>
      </c>
      <c r="B40" s="7" t="s">
        <v>283</v>
      </c>
      <c r="C40" s="19"/>
      <c r="D40" s="19"/>
      <c r="E40" s="19"/>
      <c r="F40" s="19"/>
      <c r="G40" s="8"/>
    </row>
    <row r="41" ht="18.0" customHeight="1">
      <c r="A41" s="10" t="s">
        <v>552</v>
      </c>
      <c r="B41" s="11" t="s">
        <v>553</v>
      </c>
      <c r="C41" s="19"/>
      <c r="D41" s="19"/>
      <c r="E41" s="19"/>
      <c r="F41" s="19"/>
      <c r="G41" s="8"/>
    </row>
    <row r="42" ht="18.0" customHeight="1">
      <c r="A42" s="10"/>
      <c r="B42" s="11" t="s">
        <v>327</v>
      </c>
      <c r="C42" s="19"/>
      <c r="D42" s="19"/>
      <c r="E42" s="19"/>
      <c r="F42" s="19"/>
      <c r="G42" s="8"/>
    </row>
    <row r="43" ht="18.0" customHeight="1">
      <c r="A43" s="10"/>
      <c r="B43" s="11" t="s">
        <v>555</v>
      </c>
      <c r="C43" s="19"/>
      <c r="D43" s="19"/>
      <c r="E43" s="19"/>
      <c r="F43" s="19"/>
      <c r="G43" s="8"/>
    </row>
    <row r="44" ht="18.0" customHeight="1">
      <c r="A44" s="10"/>
      <c r="B44" s="11" t="s">
        <v>556</v>
      </c>
      <c r="C44" s="19"/>
      <c r="D44" s="19"/>
      <c r="E44" s="19"/>
      <c r="F44" s="19"/>
      <c r="G44" s="8"/>
    </row>
    <row r="45" ht="18.0" customHeight="1">
      <c r="A45" s="10" t="s">
        <v>557</v>
      </c>
      <c r="B45" s="11" t="s">
        <v>558</v>
      </c>
      <c r="C45" s="19"/>
      <c r="D45" s="19"/>
      <c r="E45" s="19"/>
      <c r="F45" s="19"/>
      <c r="G45" s="8"/>
    </row>
    <row r="46" ht="18.0" customHeight="1">
      <c r="A46" s="10"/>
      <c r="B46" s="11" t="s">
        <v>311</v>
      </c>
      <c r="C46" s="19"/>
      <c r="D46" s="19"/>
      <c r="E46" s="19"/>
      <c r="F46" s="19"/>
      <c r="G46" s="8"/>
    </row>
    <row r="47" ht="18.0" customHeight="1">
      <c r="A47" s="10"/>
      <c r="B47" s="11" t="s">
        <v>559</v>
      </c>
      <c r="C47" s="19"/>
      <c r="D47" s="19"/>
      <c r="E47" s="19"/>
      <c r="F47" s="19"/>
      <c r="G47" s="8"/>
    </row>
    <row r="48" ht="18.0" customHeight="1">
      <c r="A48" s="10"/>
      <c r="B48" s="11" t="s">
        <v>560</v>
      </c>
      <c r="C48" s="19"/>
      <c r="D48" s="19"/>
      <c r="E48" s="19"/>
      <c r="F48" s="19"/>
      <c r="G48" s="8"/>
    </row>
    <row r="49" ht="18.0" customHeight="1">
      <c r="A49" s="10"/>
      <c r="B49" s="11" t="s">
        <v>561</v>
      </c>
      <c r="C49" s="19"/>
      <c r="D49" s="19"/>
      <c r="E49" s="19"/>
      <c r="F49" s="19"/>
      <c r="G49" s="8"/>
    </row>
    <row r="50" ht="18.0" customHeight="1">
      <c r="A50" s="10" t="s">
        <v>562</v>
      </c>
      <c r="B50" s="11" t="s">
        <v>563</v>
      </c>
      <c r="C50" s="19"/>
      <c r="D50" s="19"/>
      <c r="E50" s="19"/>
      <c r="F50" s="19"/>
      <c r="G50" s="8"/>
    </row>
    <row r="51" ht="18.0" customHeight="1">
      <c r="A51" s="10"/>
      <c r="B51" s="11" t="s">
        <v>319</v>
      </c>
      <c r="C51" s="19"/>
      <c r="D51" s="19"/>
      <c r="E51" s="19"/>
      <c r="F51" s="19"/>
      <c r="G51" s="8"/>
    </row>
    <row r="52" ht="18.0" customHeight="1">
      <c r="A52" s="10"/>
      <c r="B52" s="11" t="s">
        <v>564</v>
      </c>
      <c r="C52" s="19"/>
      <c r="D52" s="19"/>
      <c r="E52" s="19"/>
      <c r="F52" s="19"/>
      <c r="G52" s="8"/>
    </row>
    <row r="53" ht="18.0" customHeight="1">
      <c r="A53" s="10"/>
      <c r="B53" s="11" t="s">
        <v>565</v>
      </c>
      <c r="C53" s="19"/>
      <c r="D53" s="19"/>
      <c r="E53" s="19"/>
      <c r="F53" s="19"/>
      <c r="G53" s="8"/>
    </row>
    <row r="54" ht="15.75" customHeight="1"/>
    <row r="55" ht="18.0" customHeight="1">
      <c r="A55" s="6" t="s">
        <v>282</v>
      </c>
      <c r="B55" s="6" t="s">
        <v>566</v>
      </c>
      <c r="C55" s="6" t="s">
        <v>567</v>
      </c>
      <c r="D55" s="7" t="s">
        <v>568</v>
      </c>
      <c r="E55" s="8"/>
      <c r="F55" s="6" t="s">
        <v>569</v>
      </c>
      <c r="G55" s="6" t="s">
        <v>570</v>
      </c>
    </row>
    <row r="56" ht="61.5" customHeight="1">
      <c r="A56" s="10" t="s">
        <v>552</v>
      </c>
      <c r="B56" s="16">
        <v>3.0</v>
      </c>
      <c r="C56" s="12" t="s">
        <v>130</v>
      </c>
      <c r="D56" s="20" t="s">
        <v>571</v>
      </c>
      <c r="E56" s="8"/>
      <c r="F56" s="15" t="str">
        <f>IF(B56="","",IF(B56=3,"Đúng","Chưa đúng"))</f>
        <v>Đúng</v>
      </c>
      <c r="G56" s="15" t="str">
        <f>IF(C56="","",IF(C56="missing_lookup","Đúng","Chưa đúng"))</f>
        <v>Đúng</v>
      </c>
    </row>
    <row r="57" ht="61.5" customHeight="1">
      <c r="A57" s="10" t="s">
        <v>557</v>
      </c>
      <c r="B57" s="16">
        <v>2.0</v>
      </c>
      <c r="C57" s="12" t="s">
        <v>125</v>
      </c>
      <c r="D57" s="20" t="s">
        <v>572</v>
      </c>
      <c r="E57" s="8"/>
      <c r="F57" s="15" t="str">
        <f>IF(B57="","",IF(B57=2,"Đúng","Chưa đúng"))</f>
        <v>Đúng</v>
      </c>
      <c r="G57" s="15" t="str">
        <f>IF(C57="","",IF(C57="wrong_intent","Đúng","Chưa đúng"))</f>
        <v>Đúng</v>
      </c>
    </row>
    <row r="58" ht="61.5" customHeight="1">
      <c r="A58" s="10" t="s">
        <v>562</v>
      </c>
      <c r="B58" s="16">
        <v>4.0</v>
      </c>
      <c r="C58" s="12" t="s">
        <v>142</v>
      </c>
      <c r="D58" s="20" t="s">
        <v>573</v>
      </c>
      <c r="E58" s="8"/>
      <c r="F58" s="15" t="str">
        <f>IF(B58="","",IF(B58=4,"Đúng","Chưa đúng"))</f>
        <v>Đúng</v>
      </c>
      <c r="G58" s="15" t="str">
        <f>IF(C58="","",IF(C58="missing_escalation","Đúng","Chưa đúng"))</f>
        <v>Đúng</v>
      </c>
    </row>
    <row r="59" ht="15.75" customHeight="1"/>
    <row r="60" ht="18.0" customHeight="1">
      <c r="A60" s="21" t="s">
        <v>574</v>
      </c>
    </row>
    <row r="61" ht="18.0" customHeight="1">
      <c r="A61" s="3" t="s">
        <v>575</v>
      </c>
    </row>
    <row r="62" ht="18.0" customHeight="1">
      <c r="A62" s="6" t="s">
        <v>433</v>
      </c>
      <c r="B62" s="6" t="s">
        <v>576</v>
      </c>
      <c r="C62" s="6" t="s">
        <v>577</v>
      </c>
      <c r="D62" s="6" t="s">
        <v>578</v>
      </c>
      <c r="E62" s="6" t="s">
        <v>579</v>
      </c>
      <c r="F62" s="6" t="s">
        <v>582</v>
      </c>
      <c r="G62" s="6" t="s">
        <v>583</v>
      </c>
    </row>
    <row r="63" ht="78.0" customHeight="1">
      <c r="A63" s="10" t="s">
        <v>584</v>
      </c>
      <c r="B63" s="12" t="s">
        <v>66</v>
      </c>
      <c r="C63" s="12" t="s">
        <v>586</v>
      </c>
      <c r="D63" s="12" t="s">
        <v>587</v>
      </c>
      <c r="E63" s="12" t="s">
        <v>588</v>
      </c>
      <c r="F63" s="12" t="s">
        <v>339</v>
      </c>
      <c r="G63" s="12" t="s">
        <v>589</v>
      </c>
    </row>
    <row r="64" ht="78.0" customHeight="1">
      <c r="A64" s="10" t="s">
        <v>590</v>
      </c>
      <c r="B64" s="12" t="s">
        <v>591</v>
      </c>
      <c r="C64" s="12" t="s">
        <v>594</v>
      </c>
      <c r="D64" s="12" t="s">
        <v>595</v>
      </c>
      <c r="E64" s="12" t="s">
        <v>598</v>
      </c>
      <c r="F64" s="12" t="s">
        <v>339</v>
      </c>
      <c r="G64" s="12" t="s">
        <v>600</v>
      </c>
    </row>
    <row r="65" ht="78.0" customHeight="1">
      <c r="A65" s="10" t="s">
        <v>602</v>
      </c>
      <c r="B65" s="12" t="s">
        <v>604</v>
      </c>
      <c r="C65" s="12" t="s">
        <v>605</v>
      </c>
      <c r="D65" s="12" t="s">
        <v>607</v>
      </c>
      <c r="E65" s="12" t="s">
        <v>608</v>
      </c>
      <c r="F65" s="12" t="s">
        <v>606</v>
      </c>
      <c r="G65" s="12" t="s">
        <v>291</v>
      </c>
    </row>
    <row r="66" ht="78.0" customHeight="1">
      <c r="A66" s="10" t="s">
        <v>609</v>
      </c>
      <c r="B66" s="12" t="s">
        <v>610</v>
      </c>
      <c r="C66" s="12" t="s">
        <v>611</v>
      </c>
      <c r="D66" s="12" t="s">
        <v>612</v>
      </c>
      <c r="E66" s="12" t="s">
        <v>613</v>
      </c>
      <c r="F66" s="12" t="s">
        <v>351</v>
      </c>
      <c r="G66" s="12" t="s">
        <v>614</v>
      </c>
    </row>
    <row r="67" ht="33.0" customHeight="1">
      <c r="B67" s="10" t="s">
        <v>35</v>
      </c>
      <c r="C67" s="15"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14" t="s">
        <v>615</v>
      </c>
    </row>
    <row r="68" ht="15.75" customHeight="1"/>
    <row r="69" ht="18.0" customHeight="1">
      <c r="A69" s="21" t="s">
        <v>616</v>
      </c>
    </row>
    <row r="70" ht="18.0" customHeight="1">
      <c r="A70" s="3" t="s">
        <v>617</v>
      </c>
    </row>
    <row r="71" ht="18.0" customHeight="1">
      <c r="A71" s="6" t="s">
        <v>400</v>
      </c>
      <c r="B71" s="6" t="s">
        <v>618</v>
      </c>
      <c r="C71" s="6" t="s">
        <v>351</v>
      </c>
      <c r="D71" s="7" t="s">
        <v>619</v>
      </c>
      <c r="E71" s="8"/>
      <c r="F71" s="6" t="s">
        <v>620</v>
      </c>
      <c r="G71" s="6" t="s">
        <v>35</v>
      </c>
    </row>
    <row r="72" ht="31.5" customHeight="1">
      <c r="A72" s="9" t="s">
        <v>97</v>
      </c>
      <c r="B72" s="9" t="s">
        <v>402</v>
      </c>
      <c r="C72" s="9" t="s">
        <v>402</v>
      </c>
      <c r="D72" s="11" t="s">
        <v>621</v>
      </c>
      <c r="E72" s="8"/>
      <c r="F72" s="16">
        <v>12.0</v>
      </c>
      <c r="G72" s="15" t="str">
        <f>IF(F72="","",IF(F72=12,"Đúng","Chưa đúng"))</f>
        <v>Đúng</v>
      </c>
    </row>
    <row r="73" ht="31.5" customHeight="1">
      <c r="A73" s="9" t="s">
        <v>103</v>
      </c>
      <c r="B73" s="9" t="s">
        <v>402</v>
      </c>
      <c r="C73" s="9" t="s">
        <v>404</v>
      </c>
      <c r="D73" s="11" t="s">
        <v>622</v>
      </c>
      <c r="E73" s="8"/>
      <c r="F73" s="16">
        <v>2.0</v>
      </c>
      <c r="G73" s="15" t="str">
        <f>IF(F73="","",IF(F73=2,"Đúng","Chưa đúng"))</f>
        <v>Đúng</v>
      </c>
    </row>
    <row r="74" ht="31.5" customHeight="1">
      <c r="A74" s="9" t="s">
        <v>108</v>
      </c>
      <c r="B74" s="9" t="s">
        <v>402</v>
      </c>
      <c r="C74" s="9" t="s">
        <v>402</v>
      </c>
      <c r="D74" s="11" t="s">
        <v>623</v>
      </c>
      <c r="E74" s="8"/>
      <c r="F74" s="16">
        <v>0.0</v>
      </c>
      <c r="G74" s="15" t="str">
        <f>IF(F74="","",IF(F74=0,"Đúng","Chưa đúng"))</f>
        <v>Đúng</v>
      </c>
    </row>
    <row r="75" ht="31.5" customHeight="1">
      <c r="A75" s="9" t="s">
        <v>140</v>
      </c>
      <c r="B75" s="9" t="s">
        <v>404</v>
      </c>
      <c r="C75" s="9" t="s">
        <v>404</v>
      </c>
      <c r="D75" s="11" t="s">
        <v>624</v>
      </c>
      <c r="E75" s="8"/>
      <c r="F75" s="16">
        <v>6.0</v>
      </c>
      <c r="G75" s="15" t="str">
        <f>IF(F75="","",IF(F75=6,"Đúng","Chưa đúng"))</f>
        <v>Đúng</v>
      </c>
    </row>
    <row r="76" ht="18.0" customHeight="1">
      <c r="A76" s="9" t="s">
        <v>144</v>
      </c>
      <c r="B76" s="9" t="s">
        <v>402</v>
      </c>
      <c r="C76" s="9" t="s">
        <v>402</v>
      </c>
      <c r="D76" s="13" t="s">
        <v>625</v>
      </c>
      <c r="E76" s="8"/>
      <c r="F76" s="31">
        <f>IF(OR(F72="",F73=""),"",F72/(F72+F73))</f>
        <v>0.8571428571</v>
      </c>
      <c r="G76" s="15" t="str">
        <f t="shared" ref="G76:G77" si="1">IF(F76="","",IF(F76&gt;=0.9,"Đạt ngưỡng","Dưới ngưỡng"))</f>
        <v>Dưới ngưỡng</v>
      </c>
    </row>
    <row r="77" ht="18.0" customHeight="1">
      <c r="A77" s="9" t="s">
        <v>164</v>
      </c>
      <c r="B77" s="9" t="s">
        <v>402</v>
      </c>
      <c r="C77" s="9" t="s">
        <v>402</v>
      </c>
      <c r="D77" s="13" t="s">
        <v>626</v>
      </c>
      <c r="E77" s="8"/>
      <c r="F77" s="31">
        <f>IF(OR(F74="",F75=""),"",F75/(F74+F75))</f>
        <v>1</v>
      </c>
      <c r="G77" s="15" t="str">
        <f t="shared" si="1"/>
        <v>Đạt ngưỡng</v>
      </c>
    </row>
    <row r="78" ht="18.0" customHeight="1">
      <c r="A78" s="9" t="s">
        <v>167</v>
      </c>
      <c r="B78" s="9" t="s">
        <v>404</v>
      </c>
      <c r="C78" s="9" t="s">
        <v>404</v>
      </c>
      <c r="D78" s="11" t="s">
        <v>627</v>
      </c>
      <c r="E78" s="8"/>
      <c r="F78" s="32">
        <v>0.9</v>
      </c>
    </row>
    <row r="79" ht="18.0" customHeight="1">
      <c r="A79" s="9" t="s">
        <v>170</v>
      </c>
      <c r="B79" s="9" t="s">
        <v>402</v>
      </c>
      <c r="C79" s="9" t="s">
        <v>402</v>
      </c>
      <c r="D79" s="11" t="s">
        <v>628</v>
      </c>
      <c r="E79" s="8"/>
      <c r="F79" s="23">
        <f>SUM(F72:F75)</f>
        <v>20</v>
      </c>
    </row>
    <row r="80" ht="18.0" customHeight="1">
      <c r="A80" s="9" t="s">
        <v>175</v>
      </c>
      <c r="B80" s="9" t="s">
        <v>402</v>
      </c>
      <c r="C80" s="9" t="s">
        <v>402</v>
      </c>
    </row>
    <row r="81" ht="31.5" customHeight="1">
      <c r="A81" s="9" t="s">
        <v>178</v>
      </c>
      <c r="B81" s="9" t="s">
        <v>402</v>
      </c>
      <c r="C81" s="9" t="s">
        <v>404</v>
      </c>
      <c r="D81" s="11" t="s">
        <v>629</v>
      </c>
      <c r="E81" s="19"/>
      <c r="F81" s="19"/>
      <c r="G81" s="8"/>
    </row>
    <row r="82" ht="33.0" customHeight="1">
      <c r="A82" s="9" t="s">
        <v>181</v>
      </c>
      <c r="B82" s="9" t="s">
        <v>402</v>
      </c>
      <c r="C82" s="9" t="s">
        <v>402</v>
      </c>
      <c r="D82" s="11" t="s">
        <v>630</v>
      </c>
      <c r="E82" s="19"/>
      <c r="F82" s="19"/>
      <c r="G82" s="8"/>
    </row>
    <row r="83" ht="31.5" customHeight="1">
      <c r="A83" s="9" t="s">
        <v>184</v>
      </c>
      <c r="B83" s="9" t="s">
        <v>404</v>
      </c>
      <c r="C83" s="9" t="s">
        <v>404</v>
      </c>
      <c r="D83" s="11" t="s">
        <v>631</v>
      </c>
      <c r="E83" s="19"/>
      <c r="F83" s="19"/>
      <c r="G83" s="8"/>
    </row>
    <row r="84" ht="18.0" customHeight="1">
      <c r="A84" s="9" t="s">
        <v>187</v>
      </c>
      <c r="B84" s="9" t="s">
        <v>402</v>
      </c>
      <c r="C84" s="9" t="s">
        <v>402</v>
      </c>
      <c r="D84" s="13" t="s">
        <v>632</v>
      </c>
      <c r="E84" s="8"/>
      <c r="F84" s="12" t="s">
        <v>261</v>
      </c>
      <c r="G84" s="15" t="str">
        <f>IF(F84="","",IF(F84="B","Đúng","Chưa đúng"))</f>
        <v>Đúng</v>
      </c>
    </row>
    <row r="85" ht="18.0" customHeight="1">
      <c r="A85" s="9" t="s">
        <v>190</v>
      </c>
      <c r="B85" s="9" t="s">
        <v>402</v>
      </c>
      <c r="C85" s="9" t="s">
        <v>402</v>
      </c>
    </row>
    <row r="86" ht="18.0" customHeight="1">
      <c r="A86" s="9" t="s">
        <v>195</v>
      </c>
      <c r="B86" s="9" t="s">
        <v>404</v>
      </c>
      <c r="C86" s="9" t="s">
        <v>404</v>
      </c>
    </row>
    <row r="87" ht="18.0" customHeight="1">
      <c r="A87" s="9" t="s">
        <v>198</v>
      </c>
      <c r="B87" s="9" t="s">
        <v>402</v>
      </c>
      <c r="C87" s="9" t="s">
        <v>402</v>
      </c>
    </row>
    <row r="88" ht="18.0" customHeight="1">
      <c r="A88" s="9" t="s">
        <v>202</v>
      </c>
      <c r="B88" s="9" t="s">
        <v>404</v>
      </c>
      <c r="C88" s="9" t="s">
        <v>404</v>
      </c>
    </row>
    <row r="89" ht="18.0" customHeight="1">
      <c r="A89" s="9" t="s">
        <v>206</v>
      </c>
      <c r="B89" s="9" t="s">
        <v>402</v>
      </c>
      <c r="C89" s="9" t="s">
        <v>402</v>
      </c>
    </row>
    <row r="90" ht="18.0" customHeight="1">
      <c r="A90" s="9" t="s">
        <v>209</v>
      </c>
      <c r="B90" s="9" t="s">
        <v>404</v>
      </c>
      <c r="C90" s="9" t="s">
        <v>404</v>
      </c>
    </row>
    <row r="91" ht="18.0" customHeight="1">
      <c r="A91" s="9" t="s">
        <v>212</v>
      </c>
      <c r="B91" s="9" t="s">
        <v>402</v>
      </c>
      <c r="C91" s="9" t="s">
        <v>402</v>
      </c>
    </row>
    <row r="92" ht="15.75" customHeight="1"/>
    <row r="93" ht="15.75" customHeight="1"/>
    <row r="94" ht="18.0" customHeight="1">
      <c r="A94" s="21" t="s">
        <v>633</v>
      </c>
    </row>
    <row r="95" ht="18.0" customHeight="1">
      <c r="A95" s="3" t="s">
        <v>634</v>
      </c>
    </row>
    <row r="96" ht="18.0" customHeight="1">
      <c r="A96" s="7" t="s">
        <v>284</v>
      </c>
      <c r="B96" s="8"/>
      <c r="C96" s="6" t="s">
        <v>582</v>
      </c>
      <c r="D96" s="6" t="s">
        <v>583</v>
      </c>
      <c r="E96" s="6" t="s">
        <v>286</v>
      </c>
      <c r="F96" s="6" t="s">
        <v>287</v>
      </c>
    </row>
    <row r="97" ht="18.0" customHeight="1">
      <c r="A97" s="11" t="s">
        <v>289</v>
      </c>
      <c r="B97" s="8"/>
      <c r="C97" s="9" t="s">
        <v>339</v>
      </c>
      <c r="D97" s="9" t="s">
        <v>291</v>
      </c>
      <c r="E97" s="9" t="s">
        <v>292</v>
      </c>
      <c r="F97" s="9" t="s">
        <v>635</v>
      </c>
    </row>
    <row r="98" ht="18.0" customHeight="1">
      <c r="A98" s="11" t="s">
        <v>591</v>
      </c>
      <c r="B98" s="8"/>
      <c r="C98" s="9" t="s">
        <v>339</v>
      </c>
      <c r="D98" s="9" t="s">
        <v>636</v>
      </c>
      <c r="E98" s="9" t="s">
        <v>636</v>
      </c>
      <c r="F98" s="9" t="s">
        <v>636</v>
      </c>
    </row>
    <row r="99" ht="18.0" customHeight="1">
      <c r="A99" s="11" t="s">
        <v>66</v>
      </c>
      <c r="B99" s="8"/>
      <c r="C99" s="9" t="s">
        <v>339</v>
      </c>
      <c r="D99" s="9" t="s">
        <v>589</v>
      </c>
      <c r="E99" s="9" t="s">
        <v>637</v>
      </c>
      <c r="F99" s="9" t="s">
        <v>638</v>
      </c>
    </row>
    <row r="100" ht="18.0" customHeight="1">
      <c r="A100" s="11" t="s">
        <v>303</v>
      </c>
      <c r="B100" s="8"/>
      <c r="C100" s="9" t="s">
        <v>639</v>
      </c>
      <c r="D100" s="9" t="s">
        <v>640</v>
      </c>
      <c r="E100" s="9" t="s">
        <v>306</v>
      </c>
      <c r="F100" s="9" t="s">
        <v>641</v>
      </c>
    </row>
    <row r="101" ht="18.0" customHeight="1">
      <c r="A101" s="11" t="s">
        <v>642</v>
      </c>
      <c r="B101" s="8"/>
      <c r="C101" s="9" t="s">
        <v>643</v>
      </c>
      <c r="D101" s="9" t="s">
        <v>291</v>
      </c>
      <c r="E101" s="9" t="s">
        <v>644</v>
      </c>
      <c r="F101" s="9" t="s">
        <v>637</v>
      </c>
    </row>
    <row r="102" ht="18.0" customHeight="1">
      <c r="A102" s="11" t="s">
        <v>298</v>
      </c>
      <c r="B102" s="8"/>
      <c r="C102" s="9" t="s">
        <v>339</v>
      </c>
      <c r="D102" s="9" t="s">
        <v>300</v>
      </c>
      <c r="E102" s="9" t="s">
        <v>301</v>
      </c>
      <c r="F102" s="9" t="s">
        <v>645</v>
      </c>
    </row>
    <row r="103" ht="18.0" customHeight="1">
      <c r="A103" s="14" t="s">
        <v>646</v>
      </c>
    </row>
    <row r="104" ht="15.75" customHeight="1"/>
    <row r="105" ht="18.0" customHeight="1">
      <c r="A105" s="13" t="s">
        <v>647</v>
      </c>
      <c r="B105" s="8"/>
      <c r="C105" s="12" t="s">
        <v>585</v>
      </c>
      <c r="D105" s="15" t="str">
        <f>IF(C105="","",IF(C105="Phát hành","Đúng","Chưa đúng"))</f>
        <v>Đúng</v>
      </c>
    </row>
    <row r="106" ht="105.0" customHeight="1">
      <c r="A106" s="13" t="s">
        <v>648</v>
      </c>
      <c r="B106" s="8"/>
      <c r="C106" s="20" t="s">
        <v>649</v>
      </c>
      <c r="D106" s="19"/>
      <c r="E106" s="19"/>
      <c r="F106" s="19"/>
      <c r="G106" s="8"/>
    </row>
    <row r="107" ht="18.0" customHeight="1">
      <c r="C107" s="14" t="s">
        <v>650</v>
      </c>
    </row>
    <row r="108" ht="15.75" customHeight="1"/>
    <row r="109" ht="18.0" customHeight="1">
      <c r="A109" s="3" t="s">
        <v>651</v>
      </c>
    </row>
    <row r="110" ht="18.0" customHeight="1">
      <c r="A110" s="13" t="s">
        <v>652</v>
      </c>
      <c r="B110" s="8"/>
      <c r="C110" s="17">
        <v>0.75</v>
      </c>
      <c r="D110" s="15" t="str">
        <f>IF(C110="","",IF(ISNUMBER(C110),IF(OR(ABS(C110-0.75)&lt;=0.006,ABS(C110-75)&lt;=0.6),"Đúng","Chưa đúng"),"Gõ một số"))</f>
        <v>Đúng</v>
      </c>
    </row>
    <row r="111" ht="18.0" customHeight="1">
      <c r="A111" s="13" t="s">
        <v>653</v>
      </c>
      <c r="B111" s="8"/>
      <c r="C111" s="16">
        <v>50.0</v>
      </c>
      <c r="D111" s="15" t="str">
        <f>IF(C111="","",IF(ISNUMBER(C111),IF(ABS(C111-50)&lt;=0.01,"Đúng","Chưa đúng"),"Gõ một số"))</f>
        <v>Đúng</v>
      </c>
    </row>
    <row r="112" ht="33.0" customHeight="1">
      <c r="A112" s="13" t="s">
        <v>654</v>
      </c>
      <c r="B112" s="8"/>
      <c r="C112" s="17">
        <v>0.84</v>
      </c>
      <c r="D112" s="15" t="str">
        <f>IF(C112="","",IF(ISNUMBER(C112),IF(OR(ABS(C112-0.84)&lt;=0.006,ABS(C112-84)&lt;=0.6),"Đúng","Chưa đúng"),"Gõ một số"))</f>
        <v>Đúng</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9:E79"/>
    <mergeCell ref="D81:G81"/>
    <mergeCell ref="D82:G82"/>
    <mergeCell ref="D83:G83"/>
    <mergeCell ref="D84:E84"/>
    <mergeCell ref="A94:G94"/>
    <mergeCell ref="A95:G95"/>
    <mergeCell ref="A102:B102"/>
    <mergeCell ref="A105:B105"/>
    <mergeCell ref="A106:B106"/>
    <mergeCell ref="C106:G106"/>
    <mergeCell ref="C107:G107"/>
    <mergeCell ref="A109:G109"/>
    <mergeCell ref="A110:B110"/>
    <mergeCell ref="A111:B111"/>
    <mergeCell ref="A112:B112"/>
    <mergeCell ref="A96:B96"/>
    <mergeCell ref="A97:B97"/>
    <mergeCell ref="A98:B98"/>
    <mergeCell ref="A99:B99"/>
    <mergeCell ref="A100:B100"/>
    <mergeCell ref="A101:B101"/>
    <mergeCell ref="A103:G103"/>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D72:E72"/>
    <mergeCell ref="D73:E73"/>
    <mergeCell ref="D74:E74"/>
    <mergeCell ref="D75:E75"/>
    <mergeCell ref="D76:E76"/>
    <mergeCell ref="D77:E77"/>
    <mergeCell ref="D78:E78"/>
  </mergeCells>
  <dataValidations>
    <dataValidation type="list" allowBlank="1" sqref="F63:F66">
      <formula1>'_ds'!$N$1:$N$4</formula1>
    </dataValidation>
    <dataValidation type="list" allowBlank="1" sqref="F84">
      <formula1>'_ds'!$B$1:$B$3</formula1>
    </dataValidation>
    <dataValidation type="list" allowBlank="1" sqref="C56:C58">
      <formula1>'_ds'!$F$1:$F$5</formula1>
    </dataValidation>
    <dataValidation type="list" allowBlank="1" sqref="C105">
      <formula1>'_ds'!$J$1:$J$3</formula1>
    </dataValidation>
    <dataValidation type="list" allowBlank="1" sqref="E25:E32">
      <formula1>'_ds'!$E$1:$E$3</formula1>
    </dataValidation>
  </dataValidation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2" width="9.0"/>
    <col customWidth="1" min="3" max="3" width="44.0"/>
    <col customWidth="1" min="4" max="4" width="38.0"/>
    <col customWidth="1" min="5" max="5" width="34.0"/>
    <col customWidth="1" min="6" max="6" width="12.0"/>
    <col customWidth="1" min="7" max="26" width="8.71"/>
  </cols>
  <sheetData>
    <row r="1">
      <c r="A1" s="1" t="s">
        <v>484</v>
      </c>
    </row>
    <row r="2" ht="18.0" customHeight="1">
      <c r="A2" s="2" t="s">
        <v>485</v>
      </c>
    </row>
    <row r="4" ht="18.0" customHeight="1">
      <c r="A4" s="6" t="s">
        <v>488</v>
      </c>
      <c r="B4" s="6" t="s">
        <v>489</v>
      </c>
      <c r="C4" s="6" t="s">
        <v>490</v>
      </c>
      <c r="D4" s="6" t="s">
        <v>491</v>
      </c>
      <c r="E4" s="6" t="s">
        <v>492</v>
      </c>
      <c r="F4" s="6" t="s">
        <v>493</v>
      </c>
    </row>
    <row r="5" ht="33.0" customHeight="1">
      <c r="A5" s="10" t="s">
        <v>496</v>
      </c>
      <c r="B5" s="25">
        <v>1.0</v>
      </c>
      <c r="C5" s="9" t="s">
        <v>500</v>
      </c>
      <c r="D5" s="9" t="s">
        <v>502</v>
      </c>
      <c r="E5" s="9" t="s">
        <v>503</v>
      </c>
      <c r="F5" s="26"/>
    </row>
    <row r="6" ht="33.0" customHeight="1">
      <c r="A6" s="10" t="s">
        <v>505</v>
      </c>
      <c r="B6" s="25">
        <v>1.0</v>
      </c>
      <c r="C6" s="9" t="s">
        <v>507</v>
      </c>
      <c r="D6" s="9" t="s">
        <v>508</v>
      </c>
      <c r="E6" s="9" t="s">
        <v>509</v>
      </c>
      <c r="F6" s="26"/>
    </row>
    <row r="7" ht="33.0" customHeight="1">
      <c r="A7" s="10" t="s">
        <v>511</v>
      </c>
      <c r="B7" s="25">
        <v>2.0</v>
      </c>
      <c r="C7" s="9" t="s">
        <v>512</v>
      </c>
      <c r="D7" s="9" t="s">
        <v>513</v>
      </c>
      <c r="E7" s="9" t="s">
        <v>514</v>
      </c>
      <c r="F7" s="26"/>
    </row>
    <row r="8" ht="33.0" customHeight="1">
      <c r="A8" s="10" t="s">
        <v>515</v>
      </c>
      <c r="B8" s="25">
        <v>1.5</v>
      </c>
      <c r="C8" s="9" t="s">
        <v>516</v>
      </c>
      <c r="D8" s="9" t="s">
        <v>517</v>
      </c>
      <c r="E8" s="9" t="s">
        <v>518</v>
      </c>
      <c r="F8" s="26"/>
    </row>
    <row r="9" ht="48.0" customHeight="1">
      <c r="A9" s="10" t="s">
        <v>520</v>
      </c>
      <c r="B9" s="25">
        <v>2.0</v>
      </c>
      <c r="C9" s="9" t="s">
        <v>522</v>
      </c>
      <c r="D9" s="9" t="s">
        <v>523</v>
      </c>
      <c r="E9" s="9" t="s">
        <v>524</v>
      </c>
      <c r="F9" s="26"/>
    </row>
    <row r="10" ht="33.0" customHeight="1">
      <c r="A10" s="10" t="s">
        <v>525</v>
      </c>
      <c r="B10" s="25">
        <v>1.0</v>
      </c>
      <c r="C10" s="9" t="s">
        <v>526</v>
      </c>
      <c r="D10" s="9" t="s">
        <v>527</v>
      </c>
      <c r="E10" s="9" t="s">
        <v>528</v>
      </c>
      <c r="F10" s="26"/>
    </row>
    <row r="11" ht="48.0" customHeight="1">
      <c r="A11" s="10" t="s">
        <v>529</v>
      </c>
      <c r="B11" s="25">
        <v>1.5</v>
      </c>
      <c r="C11" s="9" t="s">
        <v>531</v>
      </c>
      <c r="D11" s="9" t="s">
        <v>532</v>
      </c>
      <c r="E11" s="9" t="s">
        <v>533</v>
      </c>
      <c r="F11" s="26"/>
    </row>
    <row r="12" ht="18.0" customHeight="1">
      <c r="A12" s="10" t="s">
        <v>89</v>
      </c>
      <c r="B12" s="28">
        <f>SUM(B5:B11)</f>
        <v>10</v>
      </c>
      <c r="F12" s="29" t="str">
        <f>IF(COUNT(F5:F11)=0,"",SUM(F5:F11))</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52.0"/>
    <col customWidth="1" min="3" max="3" width="14.0"/>
    <col customWidth="1" min="4" max="4" width="12.0"/>
    <col customWidth="1" min="5" max="26" width="8.71"/>
  </cols>
  <sheetData>
    <row r="1">
      <c r="A1" s="1" t="s">
        <v>497</v>
      </c>
    </row>
    <row r="3" ht="18.0" customHeight="1">
      <c r="A3" s="6" t="s">
        <v>498</v>
      </c>
      <c r="B3" s="6" t="s">
        <v>32</v>
      </c>
      <c r="C3" s="6" t="s">
        <v>267</v>
      </c>
      <c r="D3" s="6" t="s">
        <v>504</v>
      </c>
    </row>
    <row r="4" ht="18.0" customHeight="1">
      <c r="A4" s="10" t="s">
        <v>59</v>
      </c>
      <c r="B4" s="9" t="s">
        <v>63</v>
      </c>
      <c r="C4" s="23">
        <f>'Bài 1'!C29</f>
        <v>9</v>
      </c>
      <c r="D4" s="27">
        <v>9.0</v>
      </c>
    </row>
    <row r="5" ht="18.0" customHeight="1">
      <c r="A5" s="10" t="s">
        <v>76</v>
      </c>
      <c r="B5" s="9" t="s">
        <v>78</v>
      </c>
      <c r="C5" s="23">
        <f>'Bài 2'!C25</f>
        <v>14</v>
      </c>
      <c r="D5" s="27">
        <v>14.0</v>
      </c>
    </row>
    <row r="6" ht="18.0" customHeight="1">
      <c r="A6" s="10" t="s">
        <v>90</v>
      </c>
      <c r="B6" s="9" t="s">
        <v>92</v>
      </c>
      <c r="C6" s="23">
        <f>'Bài 3'!C39</f>
        <v>9</v>
      </c>
      <c r="D6" s="27">
        <v>9.0</v>
      </c>
    </row>
    <row r="7" ht="18.0" customHeight="1">
      <c r="A7" s="10" t="s">
        <v>101</v>
      </c>
      <c r="B7" s="9" t="s">
        <v>102</v>
      </c>
      <c r="C7" s="23">
        <f>'Bài 4'!C33</f>
        <v>15</v>
      </c>
      <c r="D7" s="27">
        <v>15.0</v>
      </c>
    </row>
    <row r="8" ht="18.0" customHeight="1">
      <c r="A8" s="10" t="s">
        <v>116</v>
      </c>
      <c r="B8" s="9" t="s">
        <v>117</v>
      </c>
      <c r="C8" s="23">
        <f>'Bài 5'!C44</f>
        <v>18</v>
      </c>
      <c r="D8" s="27">
        <v>18.0</v>
      </c>
    </row>
    <row r="10" ht="18.0" customHeight="1">
      <c r="A10" s="21" t="s">
        <v>539</v>
      </c>
    </row>
    <row r="11" ht="18.0" customHeight="1">
      <c r="A11" s="10" t="s">
        <v>496</v>
      </c>
      <c r="B11" s="9" t="s">
        <v>540</v>
      </c>
      <c r="C11" s="15" t="str">
        <f>'Xưởng'!G7</f>
        <v>Đạt</v>
      </c>
    </row>
    <row r="12" ht="18.0" customHeight="1">
      <c r="A12" s="10" t="s">
        <v>505</v>
      </c>
      <c r="B12" s="9" t="s">
        <v>542</v>
      </c>
      <c r="C12" s="15" t="str">
        <f>'Xưởng'!D20</f>
        <v>Đạt</v>
      </c>
    </row>
    <row r="13" ht="18.0" customHeight="1">
      <c r="A13" s="10" t="s">
        <v>511</v>
      </c>
      <c r="B13" s="9" t="s">
        <v>543</v>
      </c>
      <c r="C13" s="15" t="str">
        <f>'Xưởng'!C36</f>
        <v>Đạt</v>
      </c>
    </row>
    <row r="14" ht="18.0" customHeight="1">
      <c r="A14" s="10" t="s">
        <v>515</v>
      </c>
      <c r="B14" s="9" t="s">
        <v>544</v>
      </c>
      <c r="C14" s="23">
        <f>COUNTIF('Xưởng'!F56:G58,"Đúng")</f>
        <v>6</v>
      </c>
      <c r="D14" s="9" t="s">
        <v>545</v>
      </c>
    </row>
    <row r="15" ht="18.0" customHeight="1">
      <c r="A15" s="10" t="s">
        <v>520</v>
      </c>
      <c r="B15" s="9" t="s">
        <v>546</v>
      </c>
      <c r="C15" s="15" t="str">
        <f>'Xưởng'!C67</f>
        <v>Đạt</v>
      </c>
    </row>
    <row r="16" ht="18.0" customHeight="1">
      <c r="A16" s="10" t="s">
        <v>525</v>
      </c>
      <c r="B16" s="9" t="s">
        <v>547</v>
      </c>
      <c r="C16" s="23">
        <f>COUNTIF('Xưởng'!G72:G84,"Đúng")</f>
        <v>5</v>
      </c>
      <c r="D16" s="9" t="s">
        <v>548</v>
      </c>
    </row>
    <row r="17" ht="18.0" customHeight="1">
      <c r="A17" s="10" t="s">
        <v>529</v>
      </c>
      <c r="B17" s="9" t="s">
        <v>549</v>
      </c>
      <c r="C17" s="23">
        <f>COUNTIF('Xưởng'!D105:D112,"Đúng")</f>
        <v>4</v>
      </c>
      <c r="D17" s="9" t="s">
        <v>554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D10"/>
  </mergeCells>
  <printOptions/>
  <pageMargins bottom="1.0" footer="0.0" header="0.0" left="0.75" right="0.75" top="1.0"/>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8.71"/>
  </cols>
  <sheetData>
    <row r="1">
      <c r="A1" s="30" t="s">
        <v>129</v>
      </c>
      <c r="B1" s="30" t="s">
        <v>394</v>
      </c>
      <c r="C1" s="30" t="s">
        <v>580</v>
      </c>
      <c r="D1" s="30" t="s">
        <v>581</v>
      </c>
      <c r="E1" s="30" t="s">
        <v>247</v>
      </c>
      <c r="F1" s="30" t="s">
        <v>125</v>
      </c>
      <c r="G1" s="30" t="s">
        <v>316</v>
      </c>
      <c r="H1" s="30" t="s">
        <v>339</v>
      </c>
      <c r="I1" s="30" t="s">
        <v>364</v>
      </c>
      <c r="J1" s="30" t="s">
        <v>585</v>
      </c>
      <c r="K1" s="30" t="s">
        <v>392</v>
      </c>
      <c r="L1" s="30" t="s">
        <v>451</v>
      </c>
      <c r="M1" s="30" t="s">
        <v>474</v>
      </c>
      <c r="N1" s="30" t="s">
        <v>339</v>
      </c>
    </row>
    <row r="2">
      <c r="A2" s="30" t="s">
        <v>61</v>
      </c>
      <c r="B2" s="30" t="s">
        <v>261</v>
      </c>
      <c r="C2" s="30" t="s">
        <v>266</v>
      </c>
      <c r="D2" s="30" t="s">
        <v>273</v>
      </c>
      <c r="E2" s="30" t="s">
        <v>253</v>
      </c>
      <c r="F2" s="30" t="s">
        <v>130</v>
      </c>
      <c r="G2" s="30" t="s">
        <v>328</v>
      </c>
      <c r="H2" s="30" t="s">
        <v>351</v>
      </c>
      <c r="I2" s="30" t="s">
        <v>370</v>
      </c>
      <c r="J2" s="30" t="s">
        <v>386</v>
      </c>
      <c r="K2" s="30" t="s">
        <v>592</v>
      </c>
      <c r="L2" s="30" t="s">
        <v>593</v>
      </c>
      <c r="M2" s="30" t="s">
        <v>466</v>
      </c>
      <c r="N2" s="30" t="s">
        <v>351</v>
      </c>
    </row>
    <row r="3">
      <c r="B3" s="30" t="s">
        <v>596</v>
      </c>
      <c r="C3" s="30" t="s">
        <v>597</v>
      </c>
      <c r="D3" s="30" t="s">
        <v>599</v>
      </c>
      <c r="E3" s="30" t="s">
        <v>258</v>
      </c>
      <c r="F3" s="30" t="s">
        <v>135</v>
      </c>
      <c r="G3" s="30" t="s">
        <v>334</v>
      </c>
      <c r="H3" s="30" t="s">
        <v>357</v>
      </c>
      <c r="I3" s="30" t="s">
        <v>375</v>
      </c>
      <c r="J3" s="30" t="s">
        <v>601</v>
      </c>
      <c r="K3" s="30" t="s">
        <v>603</v>
      </c>
      <c r="N3" s="30" t="s">
        <v>357</v>
      </c>
    </row>
    <row r="4">
      <c r="F4" s="30" t="s">
        <v>142</v>
      </c>
      <c r="N4" s="30" t="s">
        <v>606</v>
      </c>
    </row>
    <row r="5">
      <c r="F5" s="30" t="s">
        <v>145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